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Gap analysis" sheetId="2" state="visible" r:id="rId4"/>
    <sheet name="Where you lead" sheetId="3" state="visible" r:id="rId5"/>
    <sheet name="Action lis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<sst xmlns="http://schemas.openxmlformats.org/spreadsheetml/2006/main" count="347" uniqueCount="151">
  <si>
    <t xml:space="preserve">Ameya Heights vs India's national developers</t>
  </si>
  <si>
    <t xml:space="preserve">Prepared</t>
  </si>
  <si>
    <t xml:space="preserve">20 July 2026 · benchmark of ameyaheights.com against DLF, Godrej Properties, Macrotech (Lodha) and Oberoi Realty</t>
  </si>
  <si>
    <t xml:space="preserve">Why these four</t>
  </si>
  <si>
    <t xml:space="preserve">India's largest listed developers by market presence. They are an aspirational benchmark, not direct competitors — none build in your segment at your scale.</t>
  </si>
  <si>
    <t xml:space="preserve">Method</t>
  </si>
  <si>
    <t xml:space="preserve">Their websites were fetched and read directly on 20 July 2026: homepages, sub-pages, sitemap.xml and robots.txt. Your site was audited from source. Nothing here is from memory or assumption.</t>
  </si>
  <si>
    <t xml:space="preserve">EXCLUDED at your request</t>
  </si>
  <si>
    <t xml:space="preserve">RERA registration numbers and customer testimonials. You are a new company and cannot manufacture either; both are omitted from every tab.</t>
  </si>
  <si>
    <t xml:space="preserve">Verification limits</t>
  </si>
  <si>
    <t xml:space="preserve">Lodha blocks plain crawlers with a JavaScript challenge — only its robots.txt and sitemap.xml could be read. Oberoi renders client-side and returned almost no crawlable content. Rows affected are marked 'not verified' rather than guessed.</t>
  </si>
  <si>
    <t xml:space="preserve">How to read it</t>
  </si>
  <si>
    <t xml:space="preserve">'Gap analysis' is what they have and you don't. 'Where you lead' is the reverse — and it is longer than you might expect. 'Action list' is the prioritised work.</t>
  </si>
  <si>
    <t xml:space="preserve">The headline</t>
  </si>
  <si>
    <t xml:space="preserve">You are AHEAD of all four on buyer tools, languages, AI and agent-readability. You are BEHIND on content volume and institutional credibility signals. Those are different problems with different fixes.</t>
  </si>
  <si>
    <t xml:space="preserve">What they have that you do not</t>
  </si>
  <si>
    <t xml:space="preserve">Yes / No / Partial / Not verified.  RERA and testimonials deliberately excluded.</t>
  </si>
  <si>
    <t xml:space="preserve">#</t>
  </si>
  <si>
    <t xml:space="preserve">Capability</t>
  </si>
  <si>
    <t xml:space="preserve">DLF</t>
  </si>
  <si>
    <t xml:space="preserve">Godrej</t>
  </si>
  <si>
    <t xml:space="preserve">Lodha</t>
  </si>
  <si>
    <t xml:space="preserve">Oberoi</t>
  </si>
  <si>
    <t xml:space="preserve">Peers
with it</t>
  </si>
  <si>
    <t xml:space="preserve">Ameya
Heights</t>
  </si>
  <si>
    <t xml:space="preserve">Verdict</t>
  </si>
  <si>
    <t xml:space="preserve">Priority</t>
  </si>
  <si>
    <t xml:space="preserve">Effort</t>
  </si>
  <si>
    <t xml:space="preserve">What to actually do</t>
  </si>
  <si>
    <t xml:space="preserve">Blog / insights at scale, each article on its own URL</t>
  </si>
  <si>
    <t xml:space="preserve">Yes</t>
  </si>
  <si>
    <t xml:space="preserve">No</t>
  </si>
  <si>
    <t xml:space="preserve">Partial</t>
  </si>
  <si>
    <t xml:space="preserve">GAP</t>
  </si>
  <si>
    <t xml:space="preserve">P1</t>
  </si>
  <si>
    <t xml:space="preserve">High</t>
  </si>
  <si>
    <t xml:space="preserve">You now have 5 article URLs after the Journal split. They run 150-190+. Target 25 by year end: two per month, each answering one buyer question. This is also what earns the links that fix your DR 0.</t>
  </si>
  <si>
    <t xml:space="preserve">Press / media room</t>
  </si>
  <si>
    <t xml:space="preserve">Not verified</t>
  </si>
  <si>
    <t xml:space="preserve">Med</t>
  </si>
  <si>
    <t xml:space="preserve">Create /press. Three items is enough to start: your GST-registered LLP formation, the FOUR-94 launch, and any local coverage. Journalists check for this before writing about you.</t>
  </si>
  <si>
    <t xml:space="preserve">Enquiry form with international country selector</t>
  </si>
  <si>
    <t xml:space="preserve">Low</t>
  </si>
  <si>
    <t xml:space="preserve">Your form has no country picker. Both DLF and Godrej do. For an NRI-focused developer this is a real drop-off point — a Dubai buyer should not have to guess the format. Half a day of work.</t>
  </si>
  <si>
    <t xml:space="preserve">ESG / sustainability content</t>
  </si>
  <si>
    <t xml:space="preserve">P2</t>
  </si>
  <si>
    <t xml:space="preserve">4 out of 4 have this. Oberoi publishes hard numbers (renewable-energy %, water recycled). You need only state what you actually do on your sites — materials, waste, water. Do not invent targets.</t>
  </si>
  <si>
    <t xml:space="preserve">Project listing with filters (city / type / status / budget)</t>
  </si>
  <si>
    <t xml:space="preserve">Godrej has filters plus a map view. With two projects you do not need this yet — but build it when you reach five, not after.</t>
  </si>
  <si>
    <t xml:space="preserve">Per-project sub-pages (location, specs, gallery, floor plans as separate URLs)</t>
  </si>
  <si>
    <t xml:space="preserve">They rank a project for a dozen queries by splitting it across a dozen URLs. FOUR-94 currently has 3. Add /four94/location, /four94/specifications, /four94/floor-plans.</t>
  </si>
  <si>
    <t xml:space="preserve">Awards / recognition</t>
  </si>
  <si>
    <t xml:space="preserve">P3</t>
  </si>
  <si>
    <t xml:space="preserve">You cannot have awards yet, and pretending otherwise would be worse than the gap. Build /recognition around what is real: GST registration, professional memberships, third-party coverage, Google rating.</t>
  </si>
  <si>
    <t xml:space="preserve">Investor relations with published financials</t>
  </si>
  <si>
    <t xml:space="preserve">N/A</t>
  </si>
  <si>
    <t xml:space="preserve">All four are listed companies with SEBI filing obligations. You are an LLP. Your /investors page addresses co-investment, which is the right equivalent — do not imitate this one.</t>
  </si>
  <si>
    <t xml:space="preserve">Overseas offices / international roadshows</t>
  </si>
  <si>
    <t xml:space="preserve">DLF runs property shows in Sydney, Dubai, Singapore. Godrej lists international offices and a US toll-free line. Business investment, not a website change — but it is how they reach NRIs at scale.</t>
  </si>
  <si>
    <t xml:space="preserve">Sitemap index with child sitemaps</t>
  </si>
  <si>
    <t xml:space="preserve">Godrej splits into 9 child sitemaps. Yours is a single file of 45 URLs, which is correct at your size. Revisit past roughly 500 URLs.</t>
  </si>
  <si>
    <t xml:space="preserve">City / micro-market landing pages</t>
  </si>
  <si>
    <t xml:space="preserve">HAVE IT</t>
  </si>
  <si>
    <t xml:space="preserve">-</t>
  </si>
  <si>
    <t xml:space="preserve">You already have 12 under /locations. This matches what three of the four do, and at your scale it is proportionally far more coverage.</t>
  </si>
  <si>
    <t xml:space="preserve">Leadership / founder page</t>
  </si>
  <si>
    <t xml:space="preserve">Your named, accountable founder is arguably stronger than their chairman pages — it is a differentiator, not a gap.</t>
  </si>
  <si>
    <t xml:space="preserve">Heavy legal / disclaimer page</t>
  </si>
  <si>
    <t xml:space="preserve">Your /disclaimer is thorough and multi-state. No action.</t>
  </si>
  <si>
    <t xml:space="preserve">Google Tag Manager on every page</t>
  </si>
  <si>
    <t xml:space="preserve">Present sitewide (GTM-PRVKBSGQ).</t>
  </si>
  <si>
    <t xml:space="preserve">Buyer-education content (stamp duty, EMI, RERA)</t>
  </si>
  <si>
    <t xml:space="preserve">Your RERA and documents-checklist articles now cover this. Keep expanding.</t>
  </si>
  <si>
    <t xml:space="preserve">Gaps to close</t>
  </si>
  <si>
    <t xml:space="preserve">What you have that the national giants do not</t>
  </si>
  <si>
    <t xml:space="preserve">Every row below was checked against all four sites on 20 July 2026. This is the more surprising half of the analysis.</t>
  </si>
  <si>
    <t xml:space="preserve">Your capability</t>
  </si>
  <si>
    <t xml:space="preserve">Giants
with it</t>
  </si>
  <si>
    <t xml:space="preserve">Why it matters</t>
  </si>
  <si>
    <t xml:space="preserve">EMI calculator</t>
  </si>
  <si>
    <t xml:space="preserve">Buyers calculate affordability before they enquire. None of the four lets them do it on-site.</t>
  </si>
  <si>
    <t xml:space="preserve">Stamp duty, registration &amp; GST calculator</t>
  </si>
  <si>
    <t xml:space="preserve">Covers Karnataka, Tamil Nadu and Dubai. This is the single most-searched property-cost question in India and not one giant answers it interactively.</t>
  </si>
  <si>
    <t xml:space="preserve">Area unit converter (ground, cent, guntha, acre)</t>
  </si>
  <si>
    <t xml:space="preserve">Indian plot buyers deal in local units daily. A genuine utility that earns repeat visits and links.</t>
  </si>
  <si>
    <t xml:space="preserve">Live currency converter</t>
  </si>
  <si>
    <t xml:space="preserve">Directly serves the NRI and Gulf buyer you are targeting.</t>
  </si>
  <si>
    <t xml:space="preserve">Multi-language site (English / Hindi / Arabic)</t>
  </si>
  <si>
    <t xml:space="preserve">Arabic in particular is unusual and aligns with your Gulf NRI focus. None of the four offers language switching.</t>
  </si>
  <si>
    <t xml:space="preserve">AI concierge that answers in natural language</t>
  </si>
  <si>
    <t xml:space="preserve">DLF has a scripted dropdown qualifier, not a conversational assistant. Yours answers questions and runs calculations.</t>
  </si>
  <si>
    <t xml:space="preserve">3D / WebGL immersive project experience</t>
  </si>
  <si>
    <t xml:space="preserve">No virtual tour or 3D walkthrough was observed on any of the four.</t>
  </si>
  <si>
    <t xml:space="preserve">Gated lead magnet (brochure, approvals checklist)</t>
  </si>
  <si>
    <t xml:space="preserve">None of the four gates a downloadable guide. You capture an email where they capture nothing.</t>
  </si>
  <si>
    <t xml:space="preserve">Original interactive market data</t>
  </si>
  <si>
    <t xml:space="preserve">Your India office-demand explorer is the kind of asset that earns editorial links. None of them publishes comparable original data.</t>
  </si>
  <si>
    <t xml:space="preserve">WhatsApp as a first-class channel</t>
  </si>
  <si>
    <t xml:space="preserve">Only Godrej matches you. In India this is where buyers actually are.</t>
  </si>
  <si>
    <t xml:space="preserve">Site-visit booking on the site</t>
  </si>
  <si>
    <t xml:space="preserve">Only Godrej matches you.</t>
  </si>
  <si>
    <t xml:space="preserve">Agent-readable endpoints (mcp.json, llms.txt)</t>
  </si>
  <si>
    <t xml:space="preserve">DLF publishes an llms.txt for its offices division only. As buyers start asking AI assistants about property, being machine-readable is a real first-mover position.</t>
  </si>
  <si>
    <t xml:space="preserve">Structured data depth (20 schema types)</t>
  </si>
  <si>
    <t xml:space="preserve">Could not be confirmed on their pages. Yours is unusually thorough — FAQPage, HowTo, BlogPosting, RealEstateListing, BreadcrumbList and more.</t>
  </si>
  <si>
    <t xml:space="preserve">Self-hosted uptime and JS-error monitoring</t>
  </si>
  <si>
    <t xml:space="preserve">Not a customer-facing feature, but it means you find out about breakage in minutes. Most sites this size have nothing.</t>
  </si>
  <si>
    <t xml:space="preserve">Capabilities where NO giant matches you</t>
  </si>
  <si>
    <t xml:space="preserve">What to do, in order</t>
  </si>
  <si>
    <t xml:space="preserve">Sized for a company your size. Effort is calendar time, not headcount.</t>
  </si>
  <si>
    <t xml:space="preserve">Order</t>
  </si>
  <si>
    <t xml:space="preserve">Action</t>
  </si>
  <si>
    <t xml:space="preserve">Closes which gap</t>
  </si>
  <si>
    <t xml:space="preserve">Impact
(1-5)</t>
  </si>
  <si>
    <t xml:space="preserve">Cost</t>
  </si>
  <si>
    <t xml:space="preserve">Owner</t>
  </si>
  <si>
    <t xml:space="preserve">Done?</t>
  </si>
  <si>
    <t xml:space="preserve">Add a country-code selector to every enquiry form</t>
  </si>
  <si>
    <t xml:space="preserve">Enquiry form parity</t>
  </si>
  <si>
    <t xml:space="preserve">Half a day</t>
  </si>
  <si>
    <t xml:space="preserve">Nil</t>
  </si>
  <si>
    <t xml:space="preserve">Developer</t>
  </si>
  <si>
    <t xml:space="preserve">Publish /press with three real items</t>
  </si>
  <si>
    <t xml:space="preserve">1 day</t>
  </si>
  <si>
    <t xml:space="preserve">Founder</t>
  </si>
  <si>
    <t xml:space="preserve">Write 2 Journal articles per month, each on its own URL</t>
  </si>
  <si>
    <t xml:space="preserve">Blog at scale</t>
  </si>
  <si>
    <t xml:space="preserve">Ongoing</t>
  </si>
  <si>
    <t xml:space="preserve">Time only</t>
  </si>
  <si>
    <t xml:space="preserve">Publish /recognition — GST registration, memberships, coverage, Google rating</t>
  </si>
  <si>
    <t xml:space="preserve">Publish /sustainability describing what you actually do on site</t>
  </si>
  <si>
    <t xml:space="preserve">ESG content</t>
  </si>
  <si>
    <t xml:space="preserve">2 days</t>
  </si>
  <si>
    <t xml:space="preserve">Split FOUR-94 into /location, /specifications, /floor-plans</t>
  </si>
  <si>
    <t xml:space="preserve">Per-project sub-pages</t>
  </si>
  <si>
    <t xml:space="preserve">3 days</t>
  </si>
  <si>
    <t xml:space="preserve">Pitch the office-demand explorer to Indian property press</t>
  </si>
  <si>
    <t xml:space="preserve">Referring domains (DR 0)</t>
  </si>
  <si>
    <t xml:space="preserve">2 weeks</t>
  </si>
  <si>
    <t xml:space="preserve">List on IndiaProperty, 99acres, MagicBricks, Housing.com developer directories</t>
  </si>
  <si>
    <t xml:space="preserve">1 week</t>
  </si>
  <si>
    <t xml:space="preserve">Varies</t>
  </si>
  <si>
    <t xml:space="preserve">Marketing</t>
  </si>
  <si>
    <t xml:space="preserve">Build a filtered project listing</t>
  </si>
  <si>
    <t xml:space="preserve">Project listing filters</t>
  </si>
  <si>
    <t xml:space="preserve">Consider overseas NRI events or an international contact number</t>
  </si>
  <si>
    <t xml:space="preserve">Overseas presence</t>
  </si>
  <si>
    <t xml:space="preserve">Quarter+</t>
  </si>
  <si>
    <t xml:space="preserve">Significant</t>
  </si>
  <si>
    <t xml:space="preserve">Completed</t>
  </si>
  <si>
    <t xml:space="preserve">Yellow cells in 'Done?' are yours to update.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</si>
</sst>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F1A2C"/>
      <name val="Arial"/>
      <family val="0"/>
      <charset val="1"/>
    </font>
    <font>
      <b val="true"/>
      <sz val="10"/>
      <color rgb="FF0F1A2C"/>
      <name val="Arial"/>
      <family val="0"/>
      <charset val="1"/>
    </font>
    <font>
      <sz val="10"/>
      <name val="Arial"/>
      <family val="0"/>
      <charset val="1"/>
    </font>
    <font>
      <sz val="9"/>
      <color rgb="FF6F6A6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B8862B"/>
      <name val="Arial"/>
      <family val="0"/>
      <charset val="1"/>
    </font>
    <font>
      <b val="true"/>
      <sz val="10"/>
      <color rgb="FFB5462F"/>
      <name val="Arial"/>
      <family val="0"/>
      <charset val="1"/>
    </font>
    <font>
      <b val="true"/>
      <sz val="10"/>
      <color rgb="FF2F7D54"/>
      <name val="Arial"/>
      <family val="0"/>
      <charset val="1"/>
    </font>
    <font>
      <b val="true"/>
      <sz val="11"/>
      <color rgb="FFB5462F"/>
      <name val="Arial"/>
      <family val="0"/>
      <charset val="1"/>
    </font>
    <font>
      <b val="true"/>
      <sz val="12"/>
      <color rgb="FF2F7D5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F1A2C"/>
        <bgColor rgb="FF000000"/>
      </patternFill>
    </fill>
    <fill>
      <patternFill patternType="solid">
        <fgColor rgb="FFFAF8F4"/>
        <bgColor rgb="FFFFFFFF"/>
      </patternFill>
    </fill>
    <fill>
      <patternFill patternType="solid">
        <fgColor rgb="FFA07D34"/>
        <bgColor rgb="FFB8862B"/>
      </patternFill>
    </fill>
    <fill>
      <patternFill patternType="solid">
        <fgColor rgb="FFFFFF99"/>
        <bgColor rgb="FFFAF8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8CD"/>
      </left>
      <right style="thin">
        <color rgb="FFDDD8CD"/>
      </right>
      <top style="thin">
        <color rgb="FFDDD8CD"/>
      </top>
      <bottom style="thin">
        <color rgb="FFDDD8C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07D34"/>
      <rgbColor rgb="FF800080"/>
      <rgbColor rgb="FF008080"/>
      <rgbColor rgb="FFC0C0C0"/>
      <rgbColor rgb="FF808080"/>
      <rgbColor rgb="FF9999FF"/>
      <rgbColor rgb="FF993366"/>
      <rgbColor rgb="FFFAF8F4"/>
      <rgbColor rgb="FFCCFFFF"/>
      <rgbColor rgb="FF660066"/>
      <rgbColor rgb="FFFF8080"/>
      <rgbColor rgb="FF0066CC"/>
      <rgbColor rgb="FFDDD8C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F6A60"/>
      <rgbColor rgb="FFB8862B"/>
      <rgbColor rgb="FF003366"/>
      <rgbColor rgb="FF2F7D54"/>
      <rgbColor rgb="FF0F1A2C"/>
      <rgbColor rgb="FF333300"/>
      <rgbColor rgb="FFB5462F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4"/>
    <col collapsed="false" customWidth="true" hidden="false" outlineLevel="0" max="3" min="3" style="1" width="112"/>
  </cols>
  <sheetData>
    <row r="2" customFormat="false" ht="19.5" hidden="false" customHeight="true" outlineLevel="0" collapsed="false">
      <c r="B2" s="2" t="s">
        <v>0</v>
      </c>
    </row>
    <row r="4" customFormat="false" ht="45.75" hidden="false" customHeight="true" outlineLevel="0" collapsed="false">
      <c r="B4" s="3" t="s">
        <v>1</v>
      </c>
      <c r="C4" s="4" t="s">
        <v>2</v>
      </c>
    </row>
    <row r="5" customFormat="false" ht="45.75" hidden="false" customHeight="true" outlineLevel="0" collapsed="false">
      <c r="B5" s="3" t="s">
        <v>3</v>
      </c>
      <c r="C5" s="4" t="s">
        <v>4</v>
      </c>
    </row>
    <row r="6" customFormat="false" ht="45.75" hidden="false" customHeight="true" outlineLevel="0" collapsed="false">
      <c r="B6" s="3" t="s">
        <v>5</v>
      </c>
      <c r="C6" s="4" t="s">
        <v>6</v>
      </c>
    </row>
    <row r="7" customFormat="false" ht="45.75" hidden="false" customHeight="true" outlineLevel="0" collapsed="false">
      <c r="B7" s="3" t="s">
        <v>7</v>
      </c>
      <c r="C7" s="4" t="s">
        <v>8</v>
      </c>
    </row>
    <row r="8" customFormat="false" ht="45.75" hidden="false" customHeight="true" outlineLevel="0" collapsed="false">
      <c r="B8" s="3" t="s">
        <v>9</v>
      </c>
      <c r="C8" s="4" t="s">
        <v>10</v>
      </c>
    </row>
    <row r="9" customFormat="false" ht="45.75" hidden="false" customHeight="true" outlineLevel="0" collapsed="false">
      <c r="B9" s="3" t="s">
        <v>11</v>
      </c>
      <c r="C9" s="4" t="s">
        <v>12</v>
      </c>
    </row>
    <row r="10" customFormat="false" ht="45.75" hidden="false" customHeight="true" outlineLevel="0" collapsed="false">
      <c r="B10" s="3" t="s">
        <v>13</v>
      </c>
      <c r="C10" s="4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8" min="3" style="1" width="9"/>
    <col collapsed="false" customWidth="true" hidden="false" outlineLevel="0" max="9" min="9" style="1" width="11"/>
    <col collapsed="false" customWidth="true" hidden="false" outlineLevel="0" max="10" min="10" style="1" width="9"/>
    <col collapsed="false" customWidth="true" hidden="false" outlineLevel="0" max="11" min="11" style="1" width="8"/>
    <col collapsed="false" customWidth="true" hidden="false" outlineLevel="0" max="12" min="12" style="1" width="66"/>
  </cols>
  <sheetData>
    <row r="1" customFormat="false" ht="19.5" hidden="false" customHeight="true" outlineLevel="0" collapsed="false">
      <c r="A1" s="2" t="s">
        <v>15</v>
      </c>
    </row>
    <row r="2" customFormat="false" ht="15" hidden="false" customHeight="true" outlineLevel="0" collapsed="false">
      <c r="A2" s="5" t="s">
        <v>16</v>
      </c>
    </row>
    <row r="4" customFormat="false" ht="31.5" hidden="false" customHeight="true" outlineLevel="0" collapsed="false">
      <c r="A4" s="6" t="s">
        <v>17</v>
      </c>
      <c r="B4" s="6" t="s">
        <v>18</v>
      </c>
      <c r="C4" s="6" t="s">
        <v>19</v>
      </c>
      <c r="D4" s="6" t="s">
        <v>20</v>
      </c>
      <c r="E4" s="6" t="s">
        <v>21</v>
      </c>
      <c r="F4" s="6" t="s">
        <v>22</v>
      </c>
      <c r="G4" s="6" t="s">
        <v>23</v>
      </c>
      <c r="H4" s="6" t="s">
        <v>24</v>
      </c>
      <c r="I4" s="6" t="s">
        <v>25</v>
      </c>
      <c r="J4" s="6" t="s">
        <v>26</v>
      </c>
      <c r="K4" s="6" t="s">
        <v>27</v>
      </c>
      <c r="L4" s="6" t="s">
        <v>28</v>
      </c>
    </row>
    <row r="5" customFormat="false" ht="57.75" hidden="false" customHeight="true" outlineLevel="0" collapsed="false">
      <c r="A5" s="7" t="n">
        <v>1</v>
      </c>
      <c r="B5" s="7" t="s">
        <v>29</v>
      </c>
      <c r="C5" s="8" t="s">
        <v>30</v>
      </c>
      <c r="D5" s="8" t="s">
        <v>30</v>
      </c>
      <c r="E5" s="8" t="s">
        <v>30</v>
      </c>
      <c r="F5" s="8" t="s">
        <v>31</v>
      </c>
      <c r="G5" s="8" t="n">
        <f aca="false">COUNTIF(C5:F5,"Yes")</f>
        <v>3</v>
      </c>
      <c r="H5" s="9" t="s">
        <v>32</v>
      </c>
      <c r="I5" s="10" t="s">
        <v>33</v>
      </c>
      <c r="J5" s="8" t="s">
        <v>34</v>
      </c>
      <c r="K5" s="8" t="s">
        <v>35</v>
      </c>
      <c r="L5" s="7" t="s">
        <v>36</v>
      </c>
    </row>
    <row r="6" customFormat="false" ht="57.75" hidden="false" customHeight="true" outlineLevel="0" collapsed="false">
      <c r="A6" s="11" t="n">
        <v>2</v>
      </c>
      <c r="B6" s="11" t="s">
        <v>37</v>
      </c>
      <c r="C6" s="12" t="s">
        <v>30</v>
      </c>
      <c r="D6" s="12" t="s">
        <v>30</v>
      </c>
      <c r="E6" s="12" t="s">
        <v>30</v>
      </c>
      <c r="F6" s="12" t="s">
        <v>38</v>
      </c>
      <c r="G6" s="12" t="n">
        <f aca="false">COUNTIF(C6:F6,"Yes")</f>
        <v>3</v>
      </c>
      <c r="H6" s="13" t="s">
        <v>31</v>
      </c>
      <c r="I6" s="14" t="s">
        <v>33</v>
      </c>
      <c r="J6" s="12" t="s">
        <v>34</v>
      </c>
      <c r="K6" s="12" t="s">
        <v>39</v>
      </c>
      <c r="L6" s="11" t="s">
        <v>40</v>
      </c>
    </row>
    <row r="7" customFormat="false" ht="57.75" hidden="false" customHeight="true" outlineLevel="0" collapsed="false">
      <c r="A7" s="7" t="n">
        <v>3</v>
      </c>
      <c r="B7" s="7" t="s">
        <v>41</v>
      </c>
      <c r="C7" s="8" t="s">
        <v>30</v>
      </c>
      <c r="D7" s="8" t="s">
        <v>30</v>
      </c>
      <c r="E7" s="8" t="s">
        <v>38</v>
      </c>
      <c r="F7" s="8" t="s">
        <v>38</v>
      </c>
      <c r="G7" s="8" t="n">
        <f aca="false">COUNTIF(C7:F7,"Yes")</f>
        <v>2</v>
      </c>
      <c r="H7" s="15" t="s">
        <v>31</v>
      </c>
      <c r="I7" s="10" t="s">
        <v>33</v>
      </c>
      <c r="J7" s="8" t="s">
        <v>34</v>
      </c>
      <c r="K7" s="8" t="s">
        <v>42</v>
      </c>
      <c r="L7" s="7" t="s">
        <v>43</v>
      </c>
    </row>
    <row r="8" customFormat="false" ht="57.75" hidden="false" customHeight="true" outlineLevel="0" collapsed="false">
      <c r="A8" s="11" t="n">
        <v>4</v>
      </c>
      <c r="B8" s="11" t="s">
        <v>44</v>
      </c>
      <c r="C8" s="12" t="s">
        <v>30</v>
      </c>
      <c r="D8" s="12" t="s">
        <v>30</v>
      </c>
      <c r="E8" s="12" t="s">
        <v>30</v>
      </c>
      <c r="F8" s="12" t="s">
        <v>30</v>
      </c>
      <c r="G8" s="12" t="n">
        <f aca="false">COUNTIF(C8:F8,"Yes")</f>
        <v>4</v>
      </c>
      <c r="H8" s="13" t="s">
        <v>31</v>
      </c>
      <c r="I8" s="14" t="s">
        <v>33</v>
      </c>
      <c r="J8" s="12" t="s">
        <v>45</v>
      </c>
      <c r="K8" s="12" t="s">
        <v>39</v>
      </c>
      <c r="L8" s="11" t="s">
        <v>46</v>
      </c>
    </row>
    <row r="9" customFormat="false" ht="57.75" hidden="false" customHeight="true" outlineLevel="0" collapsed="false">
      <c r="A9" s="7" t="n">
        <v>5</v>
      </c>
      <c r="B9" s="7" t="s">
        <v>47</v>
      </c>
      <c r="C9" s="8" t="s">
        <v>32</v>
      </c>
      <c r="D9" s="8" t="s">
        <v>30</v>
      </c>
      <c r="E9" s="8" t="s">
        <v>38</v>
      </c>
      <c r="F9" s="8" t="s">
        <v>31</v>
      </c>
      <c r="G9" s="8" t="n">
        <f aca="false">COUNTIF(C9:F9,"Yes")</f>
        <v>1</v>
      </c>
      <c r="H9" s="15" t="s">
        <v>31</v>
      </c>
      <c r="I9" s="10" t="s">
        <v>33</v>
      </c>
      <c r="J9" s="8" t="s">
        <v>45</v>
      </c>
      <c r="K9" s="8" t="s">
        <v>39</v>
      </c>
      <c r="L9" s="7" t="s">
        <v>48</v>
      </c>
    </row>
    <row r="10" customFormat="false" ht="57.75" hidden="false" customHeight="true" outlineLevel="0" collapsed="false">
      <c r="A10" s="11" t="n">
        <v>6</v>
      </c>
      <c r="B10" s="11" t="s">
        <v>49</v>
      </c>
      <c r="C10" s="12" t="s">
        <v>30</v>
      </c>
      <c r="D10" s="12" t="s">
        <v>30</v>
      </c>
      <c r="E10" s="12" t="s">
        <v>30</v>
      </c>
      <c r="F10" s="12" t="s">
        <v>31</v>
      </c>
      <c r="G10" s="12" t="n">
        <f aca="false">COUNTIF(C10:F10,"Yes")</f>
        <v>3</v>
      </c>
      <c r="H10" s="13" t="s">
        <v>31</v>
      </c>
      <c r="I10" s="14" t="s">
        <v>33</v>
      </c>
      <c r="J10" s="12" t="s">
        <v>45</v>
      </c>
      <c r="K10" s="12" t="s">
        <v>39</v>
      </c>
      <c r="L10" s="11" t="s">
        <v>50</v>
      </c>
    </row>
    <row r="11" customFormat="false" ht="57.75" hidden="false" customHeight="true" outlineLevel="0" collapsed="false">
      <c r="A11" s="7" t="n">
        <v>7</v>
      </c>
      <c r="B11" s="7" t="s">
        <v>51</v>
      </c>
      <c r="C11" s="8" t="s">
        <v>30</v>
      </c>
      <c r="D11" s="8" t="s">
        <v>30</v>
      </c>
      <c r="E11" s="8" t="s">
        <v>38</v>
      </c>
      <c r="F11" s="8" t="s">
        <v>32</v>
      </c>
      <c r="G11" s="8" t="n">
        <f aca="false">COUNTIF(C11:F11,"Yes")</f>
        <v>2</v>
      </c>
      <c r="H11" s="15" t="s">
        <v>31</v>
      </c>
      <c r="I11" s="10" t="s">
        <v>33</v>
      </c>
      <c r="J11" s="8" t="s">
        <v>52</v>
      </c>
      <c r="K11" s="8" t="s">
        <v>42</v>
      </c>
      <c r="L11" s="7" t="s">
        <v>53</v>
      </c>
    </row>
    <row r="12" customFormat="false" ht="57.75" hidden="false" customHeight="true" outlineLevel="0" collapsed="false">
      <c r="A12" s="11" t="n">
        <v>8</v>
      </c>
      <c r="B12" s="11" t="s">
        <v>54</v>
      </c>
      <c r="C12" s="12" t="s">
        <v>30</v>
      </c>
      <c r="D12" s="12" t="s">
        <v>30</v>
      </c>
      <c r="E12" s="12" t="s">
        <v>30</v>
      </c>
      <c r="F12" s="12" t="s">
        <v>30</v>
      </c>
      <c r="G12" s="12" t="n">
        <f aca="false">COUNTIF(C12:F12,"Yes")</f>
        <v>4</v>
      </c>
      <c r="H12" s="13" t="s">
        <v>31</v>
      </c>
      <c r="I12" s="16" t="s">
        <v>55</v>
      </c>
      <c r="J12" s="12" t="s">
        <v>52</v>
      </c>
      <c r="K12" s="12" t="s">
        <v>35</v>
      </c>
      <c r="L12" s="11" t="s">
        <v>56</v>
      </c>
    </row>
    <row r="13" customFormat="false" ht="57.75" hidden="false" customHeight="true" outlineLevel="0" collapsed="false">
      <c r="A13" s="7" t="n">
        <v>9</v>
      </c>
      <c r="B13" s="7" t="s">
        <v>57</v>
      </c>
      <c r="C13" s="8" t="s">
        <v>30</v>
      </c>
      <c r="D13" s="8" t="s">
        <v>30</v>
      </c>
      <c r="E13" s="8" t="s">
        <v>38</v>
      </c>
      <c r="F13" s="8" t="s">
        <v>38</v>
      </c>
      <c r="G13" s="8" t="n">
        <f aca="false">COUNTIF(C13:F13,"Yes")</f>
        <v>2</v>
      </c>
      <c r="H13" s="15" t="s">
        <v>31</v>
      </c>
      <c r="I13" s="10" t="s">
        <v>33</v>
      </c>
      <c r="J13" s="8" t="s">
        <v>52</v>
      </c>
      <c r="K13" s="8" t="s">
        <v>35</v>
      </c>
      <c r="L13" s="7" t="s">
        <v>58</v>
      </c>
    </row>
    <row r="14" customFormat="false" ht="57.75" hidden="false" customHeight="true" outlineLevel="0" collapsed="false">
      <c r="A14" s="11" t="n">
        <v>10</v>
      </c>
      <c r="B14" s="11" t="s">
        <v>59</v>
      </c>
      <c r="C14" s="12" t="s">
        <v>30</v>
      </c>
      <c r="D14" s="12" t="s">
        <v>30</v>
      </c>
      <c r="E14" s="12" t="s">
        <v>30</v>
      </c>
      <c r="F14" s="12" t="s">
        <v>38</v>
      </c>
      <c r="G14" s="12" t="n">
        <f aca="false">COUNTIF(C14:F14,"Yes")</f>
        <v>3</v>
      </c>
      <c r="H14" s="13" t="s">
        <v>31</v>
      </c>
      <c r="I14" s="16" t="s">
        <v>55</v>
      </c>
      <c r="J14" s="12" t="s">
        <v>52</v>
      </c>
      <c r="K14" s="12" t="s">
        <v>42</v>
      </c>
      <c r="L14" s="11" t="s">
        <v>60</v>
      </c>
    </row>
    <row r="15" customFormat="false" ht="57.75" hidden="false" customHeight="true" outlineLevel="0" collapsed="false">
      <c r="A15" s="7" t="n">
        <v>11</v>
      </c>
      <c r="B15" s="7" t="s">
        <v>61</v>
      </c>
      <c r="C15" s="8" t="s">
        <v>30</v>
      </c>
      <c r="D15" s="8" t="s">
        <v>30</v>
      </c>
      <c r="E15" s="8" t="s">
        <v>30</v>
      </c>
      <c r="F15" s="8" t="s">
        <v>31</v>
      </c>
      <c r="G15" s="8" t="n">
        <f aca="false">COUNTIF(C15:F15,"Yes")</f>
        <v>3</v>
      </c>
      <c r="H15" s="17" t="s">
        <v>30</v>
      </c>
      <c r="I15" s="18" t="s">
        <v>62</v>
      </c>
      <c r="J15" s="8" t="s">
        <v>63</v>
      </c>
      <c r="K15" s="8" t="s">
        <v>63</v>
      </c>
      <c r="L15" s="7" t="s">
        <v>64</v>
      </c>
    </row>
    <row r="16" customFormat="false" ht="57.75" hidden="false" customHeight="true" outlineLevel="0" collapsed="false">
      <c r="A16" s="11" t="n">
        <v>12</v>
      </c>
      <c r="B16" s="11" t="s">
        <v>65</v>
      </c>
      <c r="C16" s="12" t="s">
        <v>30</v>
      </c>
      <c r="D16" s="12" t="s">
        <v>30</v>
      </c>
      <c r="E16" s="12" t="s">
        <v>38</v>
      </c>
      <c r="F16" s="12" t="s">
        <v>30</v>
      </c>
      <c r="G16" s="12" t="n">
        <f aca="false">COUNTIF(C16:F16,"Yes")</f>
        <v>3</v>
      </c>
      <c r="H16" s="19" t="s">
        <v>30</v>
      </c>
      <c r="I16" s="20" t="s">
        <v>62</v>
      </c>
      <c r="J16" s="12" t="s">
        <v>63</v>
      </c>
      <c r="K16" s="12" t="s">
        <v>63</v>
      </c>
      <c r="L16" s="11" t="s">
        <v>66</v>
      </c>
    </row>
    <row r="17" customFormat="false" ht="57.75" hidden="false" customHeight="true" outlineLevel="0" collapsed="false">
      <c r="A17" s="7" t="n">
        <v>13</v>
      </c>
      <c r="B17" s="7" t="s">
        <v>67</v>
      </c>
      <c r="C17" s="8" t="s">
        <v>30</v>
      </c>
      <c r="D17" s="8" t="s">
        <v>30</v>
      </c>
      <c r="E17" s="8" t="s">
        <v>38</v>
      </c>
      <c r="F17" s="8" t="s">
        <v>30</v>
      </c>
      <c r="G17" s="8" t="n">
        <f aca="false">COUNTIF(C17:F17,"Yes")</f>
        <v>3</v>
      </c>
      <c r="H17" s="17" t="s">
        <v>30</v>
      </c>
      <c r="I17" s="18" t="s">
        <v>62</v>
      </c>
      <c r="J17" s="8" t="s">
        <v>63</v>
      </c>
      <c r="K17" s="8" t="s">
        <v>63</v>
      </c>
      <c r="L17" s="7" t="s">
        <v>68</v>
      </c>
    </row>
    <row r="18" customFormat="false" ht="57.75" hidden="false" customHeight="true" outlineLevel="0" collapsed="false">
      <c r="A18" s="11" t="n">
        <v>14</v>
      </c>
      <c r="B18" s="11" t="s">
        <v>69</v>
      </c>
      <c r="C18" s="12" t="s">
        <v>30</v>
      </c>
      <c r="D18" s="12" t="s">
        <v>30</v>
      </c>
      <c r="E18" s="12" t="s">
        <v>38</v>
      </c>
      <c r="F18" s="12" t="s">
        <v>38</v>
      </c>
      <c r="G18" s="12" t="n">
        <f aca="false">COUNTIF(C18:F18,"Yes")</f>
        <v>2</v>
      </c>
      <c r="H18" s="19" t="s">
        <v>30</v>
      </c>
      <c r="I18" s="20" t="s">
        <v>62</v>
      </c>
      <c r="J18" s="12" t="s">
        <v>63</v>
      </c>
      <c r="K18" s="12" t="s">
        <v>63</v>
      </c>
      <c r="L18" s="11" t="s">
        <v>70</v>
      </c>
    </row>
    <row r="19" customFormat="false" ht="57.75" hidden="false" customHeight="true" outlineLevel="0" collapsed="false">
      <c r="A19" s="7" t="n">
        <v>15</v>
      </c>
      <c r="B19" s="7" t="s">
        <v>71</v>
      </c>
      <c r="C19" s="8" t="s">
        <v>30</v>
      </c>
      <c r="D19" s="8" t="s">
        <v>30</v>
      </c>
      <c r="E19" s="8" t="s">
        <v>30</v>
      </c>
      <c r="F19" s="8" t="s">
        <v>31</v>
      </c>
      <c r="G19" s="8" t="n">
        <f aca="false">COUNTIF(C19:F19,"Yes")</f>
        <v>3</v>
      </c>
      <c r="H19" s="17" t="s">
        <v>30</v>
      </c>
      <c r="I19" s="18" t="s">
        <v>62</v>
      </c>
      <c r="J19" s="8" t="s">
        <v>63</v>
      </c>
      <c r="K19" s="8" t="s">
        <v>63</v>
      </c>
      <c r="L19" s="7" t="s">
        <v>72</v>
      </c>
    </row>
    <row r="20" customFormat="false" ht="15" hidden="false" customHeight="true" outlineLevel="0" collapsed="false">
      <c r="B20" s="3" t="s">
        <v>73</v>
      </c>
      <c r="I20" s="21" t="n">
        <f aca="false">COUNTIF(I5:I19,"GAP")</f>
        <v>8</v>
      </c>
      <c r="L20" s="22" t="str">
        <f aca="false">CONCATENATE("Of ",COUNTA(B5:B19)," capabilities compared: ",COUNTIF(I5:I19,"GAP")," gaps, ",COUNTIF(I5:I19,"HAVE IT")," already in place, ",COUNTIF(I5:I19,"N/A")," not applicable to an LLP of your size.")</f>
        <v>Of 15 capabilities compared: 8 gaps, 5 already in place, 2 not applicable to an LLP of your size.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4"/>
    <col collapsed="false" customWidth="true" hidden="false" outlineLevel="0" max="7" min="3" style="1" width="10"/>
    <col collapsed="false" customWidth="true" hidden="false" outlineLevel="0" max="8" min="8" style="1" width="74"/>
  </cols>
  <sheetData>
    <row r="1" customFormat="false" ht="19.5" hidden="false" customHeight="true" outlineLevel="0" collapsed="false">
      <c r="A1" s="2" t="s">
        <v>74</v>
      </c>
    </row>
    <row r="2" customFormat="false" ht="15" hidden="false" customHeight="true" outlineLevel="0" collapsed="false">
      <c r="A2" s="5" t="s">
        <v>75</v>
      </c>
    </row>
    <row r="4" customFormat="false" ht="31.5" hidden="false" customHeight="true" outlineLevel="0" collapsed="false">
      <c r="A4" s="23" t="s">
        <v>17</v>
      </c>
      <c r="B4" s="23" t="s">
        <v>76</v>
      </c>
      <c r="C4" s="23" t="s">
        <v>19</v>
      </c>
      <c r="D4" s="23" t="s">
        <v>20</v>
      </c>
      <c r="E4" s="23" t="s">
        <v>21</v>
      </c>
      <c r="F4" s="23" t="s">
        <v>22</v>
      </c>
      <c r="G4" s="23" t="s">
        <v>77</v>
      </c>
      <c r="H4" s="23" t="s">
        <v>78</v>
      </c>
    </row>
    <row r="5" customFormat="false" ht="49.5" hidden="false" customHeight="true" outlineLevel="0" collapsed="false">
      <c r="A5" s="7" t="n">
        <v>1</v>
      </c>
      <c r="B5" s="7" t="s">
        <v>79</v>
      </c>
      <c r="C5" s="8" t="s">
        <v>31</v>
      </c>
      <c r="D5" s="8" t="s">
        <v>31</v>
      </c>
      <c r="E5" s="8" t="s">
        <v>31</v>
      </c>
      <c r="F5" s="8" t="s">
        <v>31</v>
      </c>
      <c r="G5" s="17" t="n">
        <f aca="false">COUNTIF(C5:F5,"Yes")</f>
        <v>0</v>
      </c>
      <c r="H5" s="7" t="s">
        <v>80</v>
      </c>
    </row>
    <row r="6" customFormat="false" ht="49.5" hidden="false" customHeight="true" outlineLevel="0" collapsed="false">
      <c r="A6" s="11" t="n">
        <v>2</v>
      </c>
      <c r="B6" s="11" t="s">
        <v>81</v>
      </c>
      <c r="C6" s="12" t="s">
        <v>31</v>
      </c>
      <c r="D6" s="12" t="s">
        <v>31</v>
      </c>
      <c r="E6" s="12" t="s">
        <v>31</v>
      </c>
      <c r="F6" s="12" t="s">
        <v>31</v>
      </c>
      <c r="G6" s="19" t="n">
        <f aca="false">COUNTIF(C6:F6,"Yes")</f>
        <v>0</v>
      </c>
      <c r="H6" s="11" t="s">
        <v>82</v>
      </c>
    </row>
    <row r="7" customFormat="false" ht="49.5" hidden="false" customHeight="true" outlineLevel="0" collapsed="false">
      <c r="A7" s="7" t="n">
        <v>3</v>
      </c>
      <c r="B7" s="7" t="s">
        <v>83</v>
      </c>
      <c r="C7" s="8" t="s">
        <v>31</v>
      </c>
      <c r="D7" s="8" t="s">
        <v>31</v>
      </c>
      <c r="E7" s="8" t="s">
        <v>31</v>
      </c>
      <c r="F7" s="8" t="s">
        <v>31</v>
      </c>
      <c r="G7" s="17" t="n">
        <f aca="false">COUNTIF(C7:F7,"Yes")</f>
        <v>0</v>
      </c>
      <c r="H7" s="7" t="s">
        <v>84</v>
      </c>
    </row>
    <row r="8" customFormat="false" ht="49.5" hidden="false" customHeight="true" outlineLevel="0" collapsed="false">
      <c r="A8" s="11" t="n">
        <v>4</v>
      </c>
      <c r="B8" s="11" t="s">
        <v>85</v>
      </c>
      <c r="C8" s="12" t="s">
        <v>31</v>
      </c>
      <c r="D8" s="12" t="s">
        <v>31</v>
      </c>
      <c r="E8" s="12" t="s">
        <v>31</v>
      </c>
      <c r="F8" s="12" t="s">
        <v>31</v>
      </c>
      <c r="G8" s="19" t="n">
        <f aca="false">COUNTIF(C8:F8,"Yes")</f>
        <v>0</v>
      </c>
      <c r="H8" s="11" t="s">
        <v>86</v>
      </c>
    </row>
    <row r="9" customFormat="false" ht="49.5" hidden="false" customHeight="true" outlineLevel="0" collapsed="false">
      <c r="A9" s="7" t="n">
        <v>5</v>
      </c>
      <c r="B9" s="7" t="s">
        <v>87</v>
      </c>
      <c r="C9" s="8" t="s">
        <v>31</v>
      </c>
      <c r="D9" s="8" t="s">
        <v>31</v>
      </c>
      <c r="E9" s="8" t="s">
        <v>38</v>
      </c>
      <c r="F9" s="8" t="s">
        <v>31</v>
      </c>
      <c r="G9" s="17" t="n">
        <f aca="false">COUNTIF(C9:F9,"Yes")</f>
        <v>0</v>
      </c>
      <c r="H9" s="7" t="s">
        <v>88</v>
      </c>
    </row>
    <row r="10" customFormat="false" ht="49.5" hidden="false" customHeight="true" outlineLevel="0" collapsed="false">
      <c r="A10" s="11" t="n">
        <v>6</v>
      </c>
      <c r="B10" s="11" t="s">
        <v>89</v>
      </c>
      <c r="C10" s="12" t="s">
        <v>32</v>
      </c>
      <c r="D10" s="12" t="s">
        <v>38</v>
      </c>
      <c r="E10" s="12" t="s">
        <v>38</v>
      </c>
      <c r="F10" s="12" t="s">
        <v>31</v>
      </c>
      <c r="G10" s="19" t="n">
        <f aca="false">COUNTIF(C10:F10,"Yes")</f>
        <v>0</v>
      </c>
      <c r="H10" s="11" t="s">
        <v>90</v>
      </c>
    </row>
    <row r="11" customFormat="false" ht="49.5" hidden="false" customHeight="true" outlineLevel="0" collapsed="false">
      <c r="A11" s="7" t="n">
        <v>7</v>
      </c>
      <c r="B11" s="7" t="s">
        <v>91</v>
      </c>
      <c r="C11" s="8" t="s">
        <v>31</v>
      </c>
      <c r="D11" s="8" t="s">
        <v>31</v>
      </c>
      <c r="E11" s="8" t="s">
        <v>38</v>
      </c>
      <c r="F11" s="8" t="s">
        <v>31</v>
      </c>
      <c r="G11" s="17" t="n">
        <f aca="false">COUNTIF(C11:F11,"Yes")</f>
        <v>0</v>
      </c>
      <c r="H11" s="7" t="s">
        <v>92</v>
      </c>
    </row>
    <row r="12" customFormat="false" ht="49.5" hidden="false" customHeight="true" outlineLevel="0" collapsed="false">
      <c r="A12" s="11" t="n">
        <v>8</v>
      </c>
      <c r="B12" s="11" t="s">
        <v>93</v>
      </c>
      <c r="C12" s="12" t="s">
        <v>31</v>
      </c>
      <c r="D12" s="12" t="s">
        <v>31</v>
      </c>
      <c r="E12" s="12" t="s">
        <v>31</v>
      </c>
      <c r="F12" s="12" t="s">
        <v>31</v>
      </c>
      <c r="G12" s="19" t="n">
        <f aca="false">COUNTIF(C12:F12,"Yes")</f>
        <v>0</v>
      </c>
      <c r="H12" s="11" t="s">
        <v>94</v>
      </c>
    </row>
    <row r="13" customFormat="false" ht="49.5" hidden="false" customHeight="true" outlineLevel="0" collapsed="false">
      <c r="A13" s="7" t="n">
        <v>9</v>
      </c>
      <c r="B13" s="7" t="s">
        <v>95</v>
      </c>
      <c r="C13" s="8" t="s">
        <v>31</v>
      </c>
      <c r="D13" s="8" t="s">
        <v>31</v>
      </c>
      <c r="E13" s="8" t="s">
        <v>31</v>
      </c>
      <c r="F13" s="8" t="s">
        <v>31</v>
      </c>
      <c r="G13" s="17" t="n">
        <f aca="false">COUNTIF(C13:F13,"Yes")</f>
        <v>0</v>
      </c>
      <c r="H13" s="7" t="s">
        <v>96</v>
      </c>
    </row>
    <row r="14" customFormat="false" ht="49.5" hidden="false" customHeight="true" outlineLevel="0" collapsed="false">
      <c r="A14" s="11" t="n">
        <v>10</v>
      </c>
      <c r="B14" s="11" t="s">
        <v>97</v>
      </c>
      <c r="C14" s="12" t="s">
        <v>31</v>
      </c>
      <c r="D14" s="12" t="s">
        <v>30</v>
      </c>
      <c r="E14" s="12" t="s">
        <v>38</v>
      </c>
      <c r="F14" s="12" t="s">
        <v>31</v>
      </c>
      <c r="G14" s="19" t="n">
        <f aca="false">COUNTIF(C14:F14,"Yes")</f>
        <v>1</v>
      </c>
      <c r="H14" s="11" t="s">
        <v>98</v>
      </c>
    </row>
    <row r="15" customFormat="false" ht="49.5" hidden="false" customHeight="true" outlineLevel="0" collapsed="false">
      <c r="A15" s="7" t="n">
        <v>11</v>
      </c>
      <c r="B15" s="7" t="s">
        <v>99</v>
      </c>
      <c r="C15" s="8" t="s">
        <v>31</v>
      </c>
      <c r="D15" s="8" t="s">
        <v>30</v>
      </c>
      <c r="E15" s="8" t="s">
        <v>38</v>
      </c>
      <c r="F15" s="8" t="s">
        <v>31</v>
      </c>
      <c r="G15" s="17" t="n">
        <f aca="false">COUNTIF(C15:F15,"Yes")</f>
        <v>1</v>
      </c>
      <c r="H15" s="7" t="s">
        <v>100</v>
      </c>
    </row>
    <row r="16" customFormat="false" ht="49.5" hidden="false" customHeight="true" outlineLevel="0" collapsed="false">
      <c r="A16" s="11" t="n">
        <v>12</v>
      </c>
      <c r="B16" s="11" t="s">
        <v>101</v>
      </c>
      <c r="C16" s="12" t="s">
        <v>32</v>
      </c>
      <c r="D16" s="12" t="s">
        <v>31</v>
      </c>
      <c r="E16" s="12" t="s">
        <v>31</v>
      </c>
      <c r="F16" s="12" t="s">
        <v>31</v>
      </c>
      <c r="G16" s="19" t="n">
        <f aca="false">COUNTIF(C16:F16,"Yes")</f>
        <v>0</v>
      </c>
      <c r="H16" s="11" t="s">
        <v>102</v>
      </c>
    </row>
    <row r="17" customFormat="false" ht="49.5" hidden="false" customHeight="true" outlineLevel="0" collapsed="false">
      <c r="A17" s="7" t="n">
        <v>13</v>
      </c>
      <c r="B17" s="7" t="s">
        <v>103</v>
      </c>
      <c r="C17" s="8" t="s">
        <v>38</v>
      </c>
      <c r="D17" s="8" t="s">
        <v>38</v>
      </c>
      <c r="E17" s="8" t="s">
        <v>38</v>
      </c>
      <c r="F17" s="8" t="s">
        <v>38</v>
      </c>
      <c r="G17" s="17" t="n">
        <f aca="false">COUNTIF(C17:F17,"Yes")</f>
        <v>0</v>
      </c>
      <c r="H17" s="7" t="s">
        <v>104</v>
      </c>
    </row>
    <row r="18" customFormat="false" ht="49.5" hidden="false" customHeight="true" outlineLevel="0" collapsed="false">
      <c r="A18" s="11" t="n">
        <v>14</v>
      </c>
      <c r="B18" s="11" t="s">
        <v>105</v>
      </c>
      <c r="C18" s="12" t="s">
        <v>55</v>
      </c>
      <c r="D18" s="12" t="s">
        <v>55</v>
      </c>
      <c r="E18" s="12" t="s">
        <v>55</v>
      </c>
      <c r="F18" s="12" t="s">
        <v>55</v>
      </c>
      <c r="G18" s="19" t="n">
        <f aca="false">COUNTIF(C18:F18,"Yes")</f>
        <v>0</v>
      </c>
      <c r="H18" s="11" t="s">
        <v>106</v>
      </c>
    </row>
    <row r="19" customFormat="false" ht="15" hidden="false" customHeight="true" outlineLevel="0" collapsed="false">
      <c r="B19" s="3" t="s">
        <v>107</v>
      </c>
      <c r="G19" s="24" t="n">
        <f aca="false">COUNTIF(G5:G18,0)</f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62"/>
    <col collapsed="false" customWidth="true" hidden="false" outlineLevel="0" max="3" min="3" style="1" width="26"/>
    <col collapsed="false" customWidth="true" hidden="false" outlineLevel="0" max="4" min="4" style="1" width="13"/>
    <col collapsed="false" customWidth="true" hidden="false" outlineLevel="0" max="5" min="5" style="1" width="9"/>
    <col collapsed="false" customWidth="true" hidden="false" outlineLevel="0" max="8" min="6" style="1" width="13"/>
  </cols>
  <sheetData>
    <row r="1" customFormat="false" ht="19.5" hidden="false" customHeight="true" outlineLevel="0" collapsed="false">
      <c r="A1" s="2" t="s">
        <v>108</v>
      </c>
    </row>
    <row r="2" customFormat="false" ht="15" hidden="false" customHeight="true" outlineLevel="0" collapsed="false">
      <c r="A2" s="5" t="s">
        <v>109</v>
      </c>
    </row>
    <row r="4" customFormat="false" ht="30" hidden="false" customHeight="true" outlineLevel="0" collapsed="false">
      <c r="A4" s="6" t="s">
        <v>110</v>
      </c>
      <c r="B4" s="6" t="s">
        <v>111</v>
      </c>
      <c r="C4" s="6" t="s">
        <v>112</v>
      </c>
      <c r="D4" s="6" t="s">
        <v>27</v>
      </c>
      <c r="E4" s="6" t="s">
        <v>113</v>
      </c>
      <c r="F4" s="6" t="s">
        <v>114</v>
      </c>
      <c r="G4" s="6" t="s">
        <v>115</v>
      </c>
      <c r="H4" s="6" t="s">
        <v>116</v>
      </c>
    </row>
    <row r="5" customFormat="false" ht="33.75" hidden="false" customHeight="true" outlineLevel="0" collapsed="false">
      <c r="A5" s="8" t="n">
        <v>1</v>
      </c>
      <c r="B5" s="7" t="s">
        <v>117</v>
      </c>
      <c r="C5" s="7" t="s">
        <v>118</v>
      </c>
      <c r="D5" s="8" t="s">
        <v>119</v>
      </c>
      <c r="E5" s="17" t="n">
        <v>4</v>
      </c>
      <c r="F5" s="7" t="s">
        <v>120</v>
      </c>
      <c r="G5" s="7" t="s">
        <v>121</v>
      </c>
      <c r="H5" s="25" t="s">
        <v>31</v>
      </c>
    </row>
    <row r="6" customFormat="false" ht="33.75" hidden="false" customHeight="true" outlineLevel="0" collapsed="false">
      <c r="A6" s="12" t="n">
        <v>2</v>
      </c>
      <c r="B6" s="11" t="s">
        <v>122</v>
      </c>
      <c r="C6" s="11" t="s">
        <v>37</v>
      </c>
      <c r="D6" s="12" t="s">
        <v>123</v>
      </c>
      <c r="E6" s="19" t="n">
        <v>4</v>
      </c>
      <c r="F6" s="11" t="s">
        <v>120</v>
      </c>
      <c r="G6" s="11" t="s">
        <v>124</v>
      </c>
      <c r="H6" s="25" t="s">
        <v>31</v>
      </c>
    </row>
    <row r="7" customFormat="false" ht="33.75" hidden="false" customHeight="true" outlineLevel="0" collapsed="false">
      <c r="A7" s="8" t="n">
        <v>3</v>
      </c>
      <c r="B7" s="7" t="s">
        <v>125</v>
      </c>
      <c r="C7" s="7" t="s">
        <v>126</v>
      </c>
      <c r="D7" s="8" t="s">
        <v>127</v>
      </c>
      <c r="E7" s="17" t="n">
        <v>5</v>
      </c>
      <c r="F7" s="7" t="s">
        <v>128</v>
      </c>
      <c r="G7" s="7" t="s">
        <v>124</v>
      </c>
      <c r="H7" s="25" t="s">
        <v>31</v>
      </c>
    </row>
    <row r="8" customFormat="false" ht="33.75" hidden="false" customHeight="true" outlineLevel="0" collapsed="false">
      <c r="A8" s="12" t="n">
        <v>4</v>
      </c>
      <c r="B8" s="11" t="s">
        <v>129</v>
      </c>
      <c r="C8" s="11" t="s">
        <v>51</v>
      </c>
      <c r="D8" s="12" t="s">
        <v>123</v>
      </c>
      <c r="E8" s="26" t="n">
        <v>3</v>
      </c>
      <c r="F8" s="11" t="s">
        <v>120</v>
      </c>
      <c r="G8" s="11" t="s">
        <v>124</v>
      </c>
      <c r="H8" s="25" t="s">
        <v>31</v>
      </c>
    </row>
    <row r="9" customFormat="false" ht="33.75" hidden="false" customHeight="true" outlineLevel="0" collapsed="false">
      <c r="A9" s="8" t="n">
        <v>5</v>
      </c>
      <c r="B9" s="7" t="s">
        <v>130</v>
      </c>
      <c r="C9" s="7" t="s">
        <v>131</v>
      </c>
      <c r="D9" s="8" t="s">
        <v>132</v>
      </c>
      <c r="E9" s="9" t="n">
        <v>3</v>
      </c>
      <c r="F9" s="7" t="s">
        <v>120</v>
      </c>
      <c r="G9" s="7" t="s">
        <v>124</v>
      </c>
      <c r="H9" s="25" t="s">
        <v>31</v>
      </c>
    </row>
    <row r="10" customFormat="false" ht="33.75" hidden="false" customHeight="true" outlineLevel="0" collapsed="false">
      <c r="A10" s="12" t="n">
        <v>6</v>
      </c>
      <c r="B10" s="11" t="s">
        <v>133</v>
      </c>
      <c r="C10" s="11" t="s">
        <v>134</v>
      </c>
      <c r="D10" s="12" t="s">
        <v>135</v>
      </c>
      <c r="E10" s="19" t="n">
        <v>4</v>
      </c>
      <c r="F10" s="11" t="s">
        <v>120</v>
      </c>
      <c r="G10" s="11" t="s">
        <v>121</v>
      </c>
      <c r="H10" s="25" t="s">
        <v>31</v>
      </c>
    </row>
    <row r="11" customFormat="false" ht="33.75" hidden="false" customHeight="true" outlineLevel="0" collapsed="false">
      <c r="A11" s="8" t="n">
        <v>7</v>
      </c>
      <c r="B11" s="7" t="s">
        <v>136</v>
      </c>
      <c r="C11" s="7" t="s">
        <v>137</v>
      </c>
      <c r="D11" s="8" t="s">
        <v>138</v>
      </c>
      <c r="E11" s="17" t="n">
        <v>5</v>
      </c>
      <c r="F11" s="7" t="s">
        <v>120</v>
      </c>
      <c r="G11" s="7" t="s">
        <v>124</v>
      </c>
      <c r="H11" s="25" t="s">
        <v>31</v>
      </c>
    </row>
    <row r="12" customFormat="false" ht="33.75" hidden="false" customHeight="true" outlineLevel="0" collapsed="false">
      <c r="A12" s="12" t="n">
        <v>8</v>
      </c>
      <c r="B12" s="11" t="s">
        <v>139</v>
      </c>
      <c r="C12" s="11" t="s">
        <v>137</v>
      </c>
      <c r="D12" s="12" t="s">
        <v>140</v>
      </c>
      <c r="E12" s="19" t="n">
        <v>4</v>
      </c>
      <c r="F12" s="11" t="s">
        <v>141</v>
      </c>
      <c r="G12" s="11" t="s">
        <v>142</v>
      </c>
      <c r="H12" s="25" t="s">
        <v>31</v>
      </c>
    </row>
    <row r="13" customFormat="false" ht="33.75" hidden="false" customHeight="true" outlineLevel="0" collapsed="false">
      <c r="A13" s="8" t="n">
        <v>9</v>
      </c>
      <c r="B13" s="7" t="s">
        <v>143</v>
      </c>
      <c r="C13" s="7" t="s">
        <v>144</v>
      </c>
      <c r="D13" s="8" t="s">
        <v>140</v>
      </c>
      <c r="E13" s="9" t="n">
        <v>2</v>
      </c>
      <c r="F13" s="7" t="s">
        <v>120</v>
      </c>
      <c r="G13" s="7" t="s">
        <v>121</v>
      </c>
      <c r="H13" s="25" t="s">
        <v>31</v>
      </c>
    </row>
    <row r="14" customFormat="false" ht="33.75" hidden="false" customHeight="true" outlineLevel="0" collapsed="false">
      <c r="A14" s="12" t="n">
        <v>10</v>
      </c>
      <c r="B14" s="11" t="s">
        <v>145</v>
      </c>
      <c r="C14" s="11" t="s">
        <v>146</v>
      </c>
      <c r="D14" s="12" t="s">
        <v>147</v>
      </c>
      <c r="E14" s="26" t="n">
        <v>3</v>
      </c>
      <c r="F14" s="11" t="s">
        <v>148</v>
      </c>
      <c r="G14" s="11" t="s">
        <v>124</v>
      </c>
      <c r="H14" s="25" t="s">
        <v>31</v>
      </c>
    </row>
    <row r="16" customFormat="false" ht="15" hidden="false" customHeight="true" outlineLevel="0" collapsed="false">
      <c r="B16" s="3" t="s">
        <v>149</v>
      </c>
      <c r="E16" s="3" t="str">
        <f aca="false">COUNTIF(H5:H14,"Done")&amp;" of "&amp;COUNTA(B5:B14)</f>
        <v>0 of 10</v>
      </c>
    </row>
    <row r="17" customFormat="false" ht="15" hidden="false" customHeight="true" outlineLevel="0" collapsed="false">
      <c r="B17" s="5" t="s">
        <v>150</v>
      </c>
    </row>
  </sheetData>
  <dataValidations count="1">
    <dataValidation allowBlank="true" errorStyle="stop" operator="between" showDropDown="false" showErrorMessage="false" showInputMessage="false" sqref="H5:H14" type="list">
      <formula1>"No,In progress,Done"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2026-07-20T12:24:06Z</dcterms:created>
  <dc:creator>openpyxl</dc:creator>
  <dc:description/>
  <dc:language>en-US</dc:language>
  <cp:lastModifiedBy/>
  <dcterms:modified xsi:type="dcterms:W3CDTF">2026-07-20T12:24:23Z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