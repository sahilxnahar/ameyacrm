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Roadmap" sheetId="2" state="visible" r:id="rId2"/>
    <sheet xmlns:r="http://schemas.openxmlformats.org/officeDocument/2006/relationships" name="Scorecard" sheetId="3" state="visible" r:id="rId3"/>
    <sheet xmlns:r="http://schemas.openxmlformats.org/officeDocument/2006/relationships" name="How to use" sheetId="4" state="visible" r:id="rId4"/>
  </sheets>
  <definedNames>
    <definedName name="_xlnm._FilterDatabase" localSheetId="1" hidden="1">'Roadmap'!$A$4:$L$39</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4">
    <font>
      <name val="Calibri"/>
      <family val="2"/>
      <color theme="1"/>
      <sz val="11"/>
      <scheme val="minor"/>
    </font>
    <font>
      <name val="Arial"/>
      <b val="1"/>
      <color rgb="000F1A2C"/>
      <sz val="16"/>
    </font>
    <font>
      <name val="Arial"/>
      <color rgb="006F6A60"/>
      <sz val="9"/>
    </font>
    <font>
      <name val="Arial"/>
      <b val="1"/>
      <color rgb="00FFFFFF"/>
      <sz val="9"/>
    </font>
    <font>
      <name val="Arial"/>
      <b val="1"/>
      <color rgb="000F1A2C"/>
      <sz val="10"/>
    </font>
    <font>
      <name val="Arial"/>
      <sz val="10"/>
    </font>
    <font>
      <name val="Arial"/>
      <b val="1"/>
      <color rgb="00A07D34"/>
      <sz val="8"/>
    </font>
    <font>
      <name val="Arial"/>
      <b val="1"/>
      <color rgb="000F1A2C"/>
      <sz val="22"/>
    </font>
    <font>
      <name val="Arial"/>
      <b val="1"/>
      <color rgb="000F1A2C"/>
      <sz val="11"/>
    </font>
    <font>
      <name val="Arial"/>
      <b val="1"/>
      <color rgb="000F1A2C"/>
      <sz val="13"/>
    </font>
    <font>
      <name val="Arial"/>
      <b val="1"/>
      <color rgb="002F7D54"/>
      <sz val="13"/>
    </font>
    <font>
      <name val="Arial"/>
      <b val="1"/>
      <color rgb="00A07D34"/>
      <sz val="13"/>
    </font>
    <font>
      <name val="Arial"/>
      <b val="1"/>
      <color rgb="00A07D34"/>
      <sz val="10"/>
    </font>
    <font>
      <name val="Arial"/>
      <b val="1"/>
      <sz val="10"/>
    </font>
  </fonts>
  <fills count="4">
    <fill>
      <patternFill/>
    </fill>
    <fill>
      <patternFill patternType="gray125"/>
    </fill>
    <fill>
      <patternFill patternType="solid">
        <fgColor rgb="000F1A2C"/>
      </patternFill>
    </fill>
    <fill>
      <patternFill patternType="solid">
        <fgColor rgb="00FFFF00"/>
      </patternFill>
    </fill>
  </fills>
  <borders count="2">
    <border>
      <left/>
      <right/>
      <top/>
      <bottom/>
      <diagonal/>
    </border>
    <border>
      <left style="thin">
        <color rgb="00DDD8CD"/>
      </left>
      <right style="thin">
        <color rgb="00DDD8CD"/>
      </right>
      <top style="thin">
        <color rgb="00DDD8CD"/>
      </top>
      <bottom style="thin">
        <color rgb="00DDD8CD"/>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6" fillId="0" borderId="0" pivotButton="0" quotePrefix="0" xfId="0"/>
    <xf numFmtId="0" fontId="7" fillId="0" borderId="0" pivotButton="0" quotePrefix="0" xfId="0"/>
    <xf numFmtId="164" fontId="7" fillId="0" borderId="0" pivotButton="0" quotePrefix="0" xfId="0"/>
    <xf numFmtId="165" fontId="7" fillId="0" borderId="0" pivotButton="0" quotePrefix="0" xfId="0"/>
    <xf numFmtId="0" fontId="3" fillId="2" borderId="0" applyAlignment="1" pivotButton="0" quotePrefix="0" xfId="0">
      <alignment horizontal="center" vertical="center"/>
    </xf>
    <xf numFmtId="0" fontId="4" fillId="0" borderId="1" pivotButton="0" quotePrefix="0" xfId="0"/>
    <xf numFmtId="0" fontId="5" fillId="0" borderId="1" pivotButton="0" quotePrefix="0" xfId="0"/>
    <xf numFmtId="164" fontId="5" fillId="0" borderId="1"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3" borderId="1" applyAlignment="1" pivotButton="0" quotePrefix="0" xfId="0">
      <alignment horizontal="center" vertical="center"/>
    </xf>
    <xf numFmtId="0" fontId="5" fillId="0" borderId="1" applyAlignment="1" pivotButton="0" quotePrefix="0" xfId="0">
      <alignment horizontal="center" vertical="center"/>
    </xf>
    <xf numFmtId="0" fontId="5" fillId="3" borderId="1" applyAlignment="1" pivotButton="0" quotePrefix="0" xfId="0">
      <alignment vertical="top" wrapText="1"/>
    </xf>
    <xf numFmtId="9" fontId="0" fillId="0" borderId="1" applyAlignment="1" pivotButton="0" quotePrefix="0" xfId="0">
      <alignment horizontal="center" vertical="center"/>
    </xf>
    <xf numFmtId="0" fontId="0" fillId="3"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wrapText="1"/>
    </xf>
    <xf numFmtId="0" fontId="8" fillId="0" borderId="0" pivotButton="0" quotePrefix="0" xfId="0"/>
    <xf numFmtId="165" fontId="9" fillId="0" borderId="0" applyAlignment="1" pivotButton="0" quotePrefix="0" xfId="0">
      <alignment horizontal="center" vertical="center"/>
    </xf>
    <xf numFmtId="165" fontId="10" fillId="0" borderId="0" applyAlignment="1" pivotButton="0" quotePrefix="0" xfId="0">
      <alignment horizontal="center" vertical="center"/>
    </xf>
    <xf numFmtId="165" fontId="11" fillId="0" borderId="0" applyAlignment="1" pivotButton="0" quotePrefix="0" xfId="0">
      <alignment horizontal="center" vertical="center"/>
    </xf>
    <xf numFmtId="0" fontId="5" fillId="0" borderId="0" pivotButton="0" quotePrefix="0" xfId="0"/>
    <xf numFmtId="0" fontId="5" fillId="0" borderId="0" applyAlignment="1" pivotButton="0" quotePrefix="0" xfId="0">
      <alignment vertical="top" wrapText="1"/>
    </xf>
    <xf numFmtId="0" fontId="12" fillId="0" borderId="0" pivotButton="0" quotePrefix="0" xfId="0"/>
    <xf numFmtId="0" fontId="13" fillId="0" borderId="0" pivotButton="0" quotePrefix="0" xfId="0"/>
  </cellXfs>
  <cellStyles count="1">
    <cellStyle name="Normal" xfId="0" builtinId="0" hidden="0"/>
  </cellStyles>
  <dxfs count="4">
    <dxf>
      <fill>
        <patternFill patternType="solid">
          <fgColor rgb="00E4F0E8"/>
        </patternFill>
      </fill>
    </dxf>
    <dxf>
      <fill>
        <patternFill patternType="solid">
          <fgColor rgb="00FBF2DC"/>
        </patternFill>
      </fill>
    </dxf>
    <dxf>
      <fill>
        <patternFill patternType="solid">
          <fgColor rgb="00F7E0DA"/>
        </patternFill>
      </fill>
    </dxf>
    <dxf>
      <font>
        <name val="Arial"/>
        <b val="1"/>
        <color rgb="00B5462F"/>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Actions by horizon</a:t>
            </a:r>
          </a:p>
        </rich>
      </tx>
    </title>
    <plotArea>
      <barChart>
        <barDir val="col"/>
        <grouping val="clustered"/>
        <ser>
          <idx val="0"/>
          <order val="0"/>
          <tx>
            <strRef>
              <f>'Dashboard'!B12</f>
            </strRef>
          </tx>
          <spPr>
            <a:ln xmlns:a="http://schemas.openxmlformats.org/drawingml/2006/main">
              <a:prstDash val="solid"/>
            </a:ln>
          </spPr>
          <cat>
            <numRef>
              <f>'Dashboard'!$A$13:$A$16</f>
            </numRef>
          </cat>
          <val>
            <numRef>
              <f>'Dashboard'!$B$13:$B$16</f>
            </numRef>
          </val>
        </ser>
        <ser>
          <idx val="1"/>
          <order val="1"/>
          <tx>
            <strRef>
              <f>'Dashboard'!C12</f>
            </strRef>
          </tx>
          <spPr>
            <a:ln xmlns:a="http://schemas.openxmlformats.org/drawingml/2006/main">
              <a:prstDash val="solid"/>
            </a:ln>
          </spPr>
          <cat>
            <numRef>
              <f>'Dashboard'!$A$13:$A$16</f>
            </numRef>
          </cat>
          <val>
            <numRef>
              <f>'Dashboard'!$C$13:$C$16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Actions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Hours remaining by workstream</a:t>
            </a:r>
          </a:p>
        </rich>
      </tx>
    </title>
    <plotArea>
      <barChart>
        <barDir val="bar"/>
        <grouping val="clustered"/>
        <ser>
          <idx val="0"/>
          <order val="0"/>
          <tx>
            <strRef>
              <f>'Dashboard'!D20</f>
            </strRef>
          </tx>
          <spPr>
            <a:ln xmlns:a="http://schemas.openxmlformats.org/drawingml/2006/main">
              <a:prstDash val="solid"/>
            </a:ln>
          </spPr>
          <cat>
            <numRef>
              <f>'Dashboard'!$A$21:$A$38</f>
            </numRef>
          </cat>
          <val>
            <numRef>
              <f>'Dashboard'!$D$21:$D$38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7</col>
      <colOff>0</colOff>
      <row>10</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27</row>
      <rowOff>0</rowOff>
    </from>
    <ext cx="540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38"/>
  <sheetViews>
    <sheetView showGridLines="0" workbookViewId="0">
      <selection activeCell="A1" sqref="A1"/>
    </sheetView>
  </sheetViews>
  <sheetFormatPr baseColWidth="8" defaultRowHeight="15"/>
  <cols>
    <col width="19" customWidth="1" min="1" max="1"/>
    <col width="13" customWidth="1" min="2" max="2"/>
    <col width="19" customWidth="1" min="3" max="3"/>
    <col width="13" customWidth="1" min="4" max="4"/>
    <col width="19" customWidth="1" min="5" max="5"/>
    <col width="13" customWidth="1" min="6" max="6"/>
    <col width="19" customWidth="1" min="7" max="7"/>
  </cols>
  <sheetData>
    <row r="1">
      <c r="A1" s="1" t="inlineStr">
        <is>
          <t>Ameya Heights — Roadmap Progress</t>
        </is>
      </c>
    </row>
    <row r="2">
      <c r="A2" s="2" t="inlineStr">
        <is>
          <t>Live. Every figure is a formula over the Roadmap tab; it updates as you change Status.</t>
        </is>
      </c>
    </row>
    <row r="4">
      <c r="A4" s="3" t="inlineStr">
        <is>
          <t>TOTAL ACTIONS</t>
        </is>
      </c>
      <c r="C4" s="3" t="inlineStr">
        <is>
          <t>DONE</t>
        </is>
      </c>
      <c r="E4" s="3" t="inlineStr">
        <is>
          <t>IN PROGRESS</t>
        </is>
      </c>
      <c r="G4" s="3" t="inlineStr">
        <is>
          <t>P1 OUTSTANDING</t>
        </is>
      </c>
    </row>
    <row r="5">
      <c r="A5" s="4">
        <f>COUNTA(Roadmap!$A$5:$A$39)</f>
        <v/>
      </c>
      <c r="C5" s="4">
        <f>COUNTIF(Roadmap!$I$5:$I$39,"Done")</f>
        <v/>
      </c>
      <c r="E5" s="4">
        <f>COUNTIF(Roadmap!$I$5:$I$39,"In progress")</f>
        <v/>
      </c>
      <c r="G5" s="4">
        <f>COUNTIFS(Roadmap!$H$5:$H$39,"P1",Roadmap!$I$5:$I$39,"&lt;&gt;Done")</f>
        <v/>
      </c>
    </row>
    <row r="7">
      <c r="A7" s="3" t="inlineStr">
        <is>
          <t>COMPLETION</t>
        </is>
      </c>
      <c r="C7" s="3" t="inlineStr">
        <is>
          <t>EFFORT REMAINING (HOURS)</t>
        </is>
      </c>
      <c r="E7" s="3" t="inlineStr">
        <is>
          <t>EFFORT DONE (HOURS)</t>
        </is>
      </c>
      <c r="G7" s="3" t="inlineStr">
        <is>
          <t>BLOCKED</t>
        </is>
      </c>
    </row>
    <row r="8">
      <c r="A8" s="5">
        <f>IFERROR(COUNTIF(Roadmap!$I$5:$I$39,"Done")/COUNTA(Roadmap!$A$5:$A$39),0)</f>
        <v/>
      </c>
      <c r="C8" s="6">
        <f>SUMIFS(Roadmap!$G$5:$G$39,Roadmap!$I$5:$I$39,"&lt;&gt;Done")</f>
        <v/>
      </c>
      <c r="E8" s="6">
        <f>SUMIFS(Roadmap!$G$5:$G$39,Roadmap!$I$5:$I$39,"Done")</f>
        <v/>
      </c>
      <c r="G8" s="4">
        <f>COUNTIF(Roadmap!$I$5:$I$39,"Blocked")</f>
        <v/>
      </c>
    </row>
    <row r="11">
      <c r="A11" s="3" t="inlineStr">
        <is>
          <t>BY HORIZON</t>
        </is>
      </c>
    </row>
    <row r="12">
      <c r="A12" s="7" t="inlineStr">
        <is>
          <t>Horizon</t>
        </is>
      </c>
      <c r="B12" s="7" t="inlineStr">
        <is>
          <t>Total</t>
        </is>
      </c>
      <c r="C12" s="7" t="inlineStr">
        <is>
          <t>Done</t>
        </is>
      </c>
      <c r="D12" s="7" t="inlineStr">
        <is>
          <t>Remaining</t>
        </is>
      </c>
      <c r="E12" s="7" t="inlineStr">
        <is>
          <t>Hours left</t>
        </is>
      </c>
      <c r="F12" s="7" t="inlineStr">
        <is>
          <t>% done</t>
        </is>
      </c>
    </row>
    <row r="13">
      <c r="A13" s="8" t="inlineStr">
        <is>
          <t>Done · v13</t>
        </is>
      </c>
      <c r="B13" s="9">
        <f>COUNTIF(Roadmap!$B$5:$B$39,$A13)</f>
        <v/>
      </c>
      <c r="C13" s="9">
        <f>COUNTIFS(Roadmap!$B$5:$B$39,$A13,Roadmap!$I$5:$I$39,"Done")</f>
        <v/>
      </c>
      <c r="D13" s="9">
        <f>B13-C13</f>
        <v/>
      </c>
      <c r="E13" s="9">
        <f>SUMIFS(Roadmap!$G$5:$G$39,Roadmap!$B$5:$B$39,$A13,Roadmap!$I$5:$I$39,"&lt;&gt;Done")</f>
        <v/>
      </c>
      <c r="F13" s="10">
        <f>IFERROR(C13/B13,0)</f>
        <v/>
      </c>
    </row>
    <row r="14">
      <c r="A14" s="8" t="inlineStr">
        <is>
          <t>H1 · Stabilise</t>
        </is>
      </c>
      <c r="B14" s="9">
        <f>COUNTIF(Roadmap!$B$5:$B$39,$A14)</f>
        <v/>
      </c>
      <c r="C14" s="9">
        <f>COUNTIFS(Roadmap!$B$5:$B$39,$A14,Roadmap!$I$5:$I$39,"Done")</f>
        <v/>
      </c>
      <c r="D14" s="9">
        <f>B14-C14</f>
        <v/>
      </c>
      <c r="E14" s="9">
        <f>SUMIFS(Roadmap!$G$5:$G$39,Roadmap!$B$5:$B$39,$A14,Roadmap!$I$5:$I$39,"&lt;&gt;Done")</f>
        <v/>
      </c>
      <c r="F14" s="10">
        <f>IFERROR(C14/B14,0)</f>
        <v/>
      </c>
    </row>
    <row r="15">
      <c r="A15" s="8" t="inlineStr">
        <is>
          <t>H2 · Instrument</t>
        </is>
      </c>
      <c r="B15" s="9">
        <f>COUNTIF(Roadmap!$B$5:$B$39,$A15)</f>
        <v/>
      </c>
      <c r="C15" s="9">
        <f>COUNTIFS(Roadmap!$B$5:$B$39,$A15,Roadmap!$I$5:$I$39,"Done")</f>
        <v/>
      </c>
      <c r="D15" s="9">
        <f>B15-C15</f>
        <v/>
      </c>
      <c r="E15" s="9">
        <f>SUMIFS(Roadmap!$G$5:$G$39,Roadmap!$B$5:$B$39,$A15,Roadmap!$I$5:$I$39,"&lt;&gt;Done")</f>
        <v/>
      </c>
      <c r="F15" s="10">
        <f>IFERROR(C15/B15,0)</f>
        <v/>
      </c>
    </row>
    <row r="16">
      <c r="A16" s="8" t="inlineStr">
        <is>
          <t>H3 · Compound</t>
        </is>
      </c>
      <c r="B16" s="9">
        <f>COUNTIF(Roadmap!$B$5:$B$39,$A16)</f>
        <v/>
      </c>
      <c r="C16" s="9">
        <f>COUNTIFS(Roadmap!$B$5:$B$39,$A16,Roadmap!$I$5:$I$39,"Done")</f>
        <v/>
      </c>
      <c r="D16" s="9">
        <f>B16-C16</f>
        <v/>
      </c>
      <c r="E16" s="9">
        <f>SUMIFS(Roadmap!$G$5:$G$39,Roadmap!$B$5:$B$39,$A16,Roadmap!$I$5:$I$39,"&lt;&gt;Done")</f>
        <v/>
      </c>
      <c r="F16" s="10">
        <f>IFERROR(C16/B16,0)</f>
        <v/>
      </c>
    </row>
    <row r="19">
      <c r="A19" s="3" t="inlineStr">
        <is>
          <t>BY WORKSTREAM</t>
        </is>
      </c>
    </row>
    <row r="20">
      <c r="A20" s="7" t="inlineStr">
        <is>
          <t>Workstream</t>
        </is>
      </c>
      <c r="B20" s="7" t="inlineStr">
        <is>
          <t>Total</t>
        </is>
      </c>
      <c r="C20" s="7" t="inlineStr">
        <is>
          <t>Done</t>
        </is>
      </c>
      <c r="D20" s="7" t="inlineStr">
        <is>
          <t>Hours left</t>
        </is>
      </c>
    </row>
    <row r="21">
      <c r="A21" s="8" t="inlineStr">
        <is>
          <t>AI</t>
        </is>
      </c>
      <c r="B21" s="9">
        <f>COUNTIF(Roadmap!$C$5:$C$39,$A21)</f>
        <v/>
      </c>
      <c r="C21" s="9">
        <f>COUNTIFS(Roadmap!$C$5:$C$39,$A21,Roadmap!$I$5:$I$39,"Done")</f>
        <v/>
      </c>
      <c r="D21" s="9">
        <f>SUMIFS(Roadmap!$G$5:$G$39,Roadmap!$C$5:$C$39,$A21,Roadmap!$I$5:$I$39,"&lt;&gt;Done")</f>
        <v/>
      </c>
    </row>
    <row r="22">
      <c r="A22" s="8" t="inlineStr">
        <is>
          <t>AI continuity</t>
        </is>
      </c>
      <c r="B22" s="9">
        <f>COUNTIF(Roadmap!$C$5:$C$39,$A22)</f>
        <v/>
      </c>
      <c r="C22" s="9">
        <f>COUNTIFS(Roadmap!$C$5:$C$39,$A22,Roadmap!$I$5:$I$39,"Done")</f>
        <v/>
      </c>
      <c r="D22" s="9">
        <f>SUMIFS(Roadmap!$G$5:$G$39,Roadmap!$C$5:$C$39,$A22,Roadmap!$I$5:$I$39,"&lt;&gt;Done")</f>
        <v/>
      </c>
    </row>
    <row r="23">
      <c r="A23" s="8" t="inlineStr">
        <is>
          <t>Accessibility</t>
        </is>
      </c>
      <c r="B23" s="9">
        <f>COUNTIF(Roadmap!$C$5:$C$39,$A23)</f>
        <v/>
      </c>
      <c r="C23" s="9">
        <f>COUNTIFS(Roadmap!$C$5:$C$39,$A23,Roadmap!$I$5:$I$39,"Done")</f>
        <v/>
      </c>
      <c r="D23" s="9">
        <f>SUMIFS(Roadmap!$G$5:$G$39,Roadmap!$C$5:$C$39,$A23,Roadmap!$I$5:$I$39,"&lt;&gt;Done")</f>
        <v/>
      </c>
    </row>
    <row r="24">
      <c r="A24" s="8" t="inlineStr">
        <is>
          <t>Analytics</t>
        </is>
      </c>
      <c r="B24" s="9">
        <f>COUNTIF(Roadmap!$C$5:$C$39,$A24)</f>
        <v/>
      </c>
      <c r="C24" s="9">
        <f>COUNTIFS(Roadmap!$C$5:$C$39,$A24,Roadmap!$I$5:$I$39,"Done")</f>
        <v/>
      </c>
      <c r="D24" s="9">
        <f>SUMIFS(Roadmap!$G$5:$G$39,Roadmap!$C$5:$C$39,$A24,Roadmap!$I$5:$I$39,"&lt;&gt;Done")</f>
        <v/>
      </c>
    </row>
    <row r="25">
      <c r="A25" s="8" t="inlineStr">
        <is>
          <t>Channels</t>
        </is>
      </c>
      <c r="B25" s="9">
        <f>COUNTIF(Roadmap!$C$5:$C$39,$A25)</f>
        <v/>
      </c>
      <c r="C25" s="9">
        <f>COUNTIFS(Roadmap!$C$5:$C$39,$A25,Roadmap!$I$5:$I$39,"Done")</f>
        <v/>
      </c>
      <c r="D25" s="9">
        <f>SUMIFS(Roadmap!$G$5:$G$39,Roadmap!$C$5:$C$39,$A25,Roadmap!$I$5:$I$39,"&lt;&gt;Done")</f>
        <v/>
      </c>
    </row>
    <row r="26">
      <c r="A26" s="8" t="inlineStr">
        <is>
          <t>Code quality</t>
        </is>
      </c>
      <c r="B26" s="9">
        <f>COUNTIF(Roadmap!$C$5:$C$39,$A26)</f>
        <v/>
      </c>
      <c r="C26" s="9">
        <f>COUNTIFS(Roadmap!$C$5:$C$39,$A26,Roadmap!$I$5:$I$39,"Done")</f>
        <v/>
      </c>
      <c r="D26" s="9">
        <f>SUMIFS(Roadmap!$G$5:$G$39,Roadmap!$C$5:$C$39,$A26,Roadmap!$I$5:$I$39,"&lt;&gt;Done")</f>
        <v/>
      </c>
    </row>
    <row r="27">
      <c r="A27" s="8" t="inlineStr">
        <is>
          <t>Compliance</t>
        </is>
      </c>
      <c r="B27" s="9">
        <f>COUNTIF(Roadmap!$C$5:$C$39,$A27)</f>
        <v/>
      </c>
      <c r="C27" s="9">
        <f>COUNTIFS(Roadmap!$C$5:$C$39,$A27,Roadmap!$I$5:$I$39,"Done")</f>
        <v/>
      </c>
      <c r="D27" s="9">
        <f>SUMIFS(Roadmap!$G$5:$G$39,Roadmap!$C$5:$C$39,$A27,Roadmap!$I$5:$I$39,"&lt;&gt;Done")</f>
        <v/>
      </c>
    </row>
    <row r="28">
      <c r="A28" s="8" t="inlineStr">
        <is>
          <t>Content</t>
        </is>
      </c>
      <c r="B28" s="9">
        <f>COUNTIF(Roadmap!$C$5:$C$39,$A28)</f>
        <v/>
      </c>
      <c r="C28" s="9">
        <f>COUNTIFS(Roadmap!$C$5:$C$39,$A28,Roadmap!$I$5:$I$39,"Done")</f>
        <v/>
      </c>
      <c r="D28" s="9">
        <f>SUMIFS(Roadmap!$G$5:$G$39,Roadmap!$C$5:$C$39,$A28,Roadmap!$I$5:$I$39,"&lt;&gt;Done")</f>
        <v/>
      </c>
    </row>
    <row r="29">
      <c r="A29" s="8" t="inlineStr">
        <is>
          <t>Deploy</t>
        </is>
      </c>
      <c r="B29" s="9">
        <f>COUNTIF(Roadmap!$C$5:$C$39,$A29)</f>
        <v/>
      </c>
      <c r="C29" s="9">
        <f>COUNTIFS(Roadmap!$C$5:$C$39,$A29,Roadmap!$I$5:$I$39,"Done")</f>
        <v/>
      </c>
      <c r="D29" s="9">
        <f>SUMIFS(Roadmap!$G$5:$G$39,Roadmap!$C$5:$C$39,$A29,Roadmap!$I$5:$I$39,"&lt;&gt;Done")</f>
        <v/>
      </c>
    </row>
    <row r="30">
      <c r="A30" s="8" t="inlineStr">
        <is>
          <t>Engineering</t>
        </is>
      </c>
      <c r="B30" s="9">
        <f>COUNTIF(Roadmap!$C$5:$C$39,$A30)</f>
        <v/>
      </c>
      <c r="C30" s="9">
        <f>COUNTIFS(Roadmap!$C$5:$C$39,$A30,Roadmap!$I$5:$I$39,"Done")</f>
        <v/>
      </c>
      <c r="D30" s="9">
        <f>SUMIFS(Roadmap!$G$5:$G$39,Roadmap!$C$5:$C$39,$A30,Roadmap!$I$5:$I$39,"&lt;&gt;Done")</f>
        <v/>
      </c>
    </row>
    <row r="31">
      <c r="A31" s="8" t="inlineStr">
        <is>
          <t>Growth</t>
        </is>
      </c>
      <c r="B31" s="9">
        <f>COUNTIF(Roadmap!$C$5:$C$39,$A31)</f>
        <v/>
      </c>
      <c r="C31" s="9">
        <f>COUNTIFS(Roadmap!$C$5:$C$39,$A31,Roadmap!$I$5:$I$39,"Done")</f>
        <v/>
      </c>
      <c r="D31" s="9">
        <f>SUMIFS(Roadmap!$G$5:$G$39,Roadmap!$C$5:$C$39,$A31,Roadmap!$I$5:$I$39,"&lt;&gt;Done")</f>
        <v/>
      </c>
    </row>
    <row r="32">
      <c r="A32" s="8" t="inlineStr">
        <is>
          <t>Hygiene</t>
        </is>
      </c>
      <c r="B32" s="9">
        <f>COUNTIF(Roadmap!$C$5:$C$39,$A32)</f>
        <v/>
      </c>
      <c r="C32" s="9">
        <f>COUNTIFS(Roadmap!$C$5:$C$39,$A32,Roadmap!$I$5:$I$39,"Done")</f>
        <v/>
      </c>
      <c r="D32" s="9">
        <f>SUMIFS(Roadmap!$G$5:$G$39,Roadmap!$C$5:$C$39,$A32,Roadmap!$I$5:$I$39,"&lt;&gt;Done")</f>
        <v/>
      </c>
    </row>
    <row r="33">
      <c r="A33" s="8" t="inlineStr">
        <is>
          <t>Ops</t>
        </is>
      </c>
      <c r="B33" s="9">
        <f>COUNTIF(Roadmap!$C$5:$C$39,$A33)</f>
        <v/>
      </c>
      <c r="C33" s="9">
        <f>COUNTIFS(Roadmap!$C$5:$C$39,$A33,Roadmap!$I$5:$I$39,"Done")</f>
        <v/>
      </c>
      <c r="D33" s="9">
        <f>SUMIFS(Roadmap!$G$5:$G$39,Roadmap!$C$5:$C$39,$A33,Roadmap!$I$5:$I$39,"&lt;&gt;Done")</f>
        <v/>
      </c>
    </row>
    <row r="34">
      <c r="A34" s="8" t="inlineStr">
        <is>
          <t>Performance</t>
        </is>
      </c>
      <c r="B34" s="9">
        <f>COUNTIF(Roadmap!$C$5:$C$39,$A34)</f>
        <v/>
      </c>
      <c r="C34" s="9">
        <f>COUNTIFS(Roadmap!$C$5:$C$39,$A34,Roadmap!$I$5:$I$39,"Done")</f>
        <v/>
      </c>
      <c r="D34" s="9">
        <f>SUMIFS(Roadmap!$G$5:$G$39,Roadmap!$C$5:$C$39,$A34,Roadmap!$I$5:$I$39,"&lt;&gt;Done")</f>
        <v/>
      </c>
    </row>
    <row r="35">
      <c r="A35" s="8" t="inlineStr">
        <is>
          <t>Resilience</t>
        </is>
      </c>
      <c r="B35" s="9">
        <f>COUNTIF(Roadmap!$C$5:$C$39,$A35)</f>
        <v/>
      </c>
      <c r="C35" s="9">
        <f>COUNTIFS(Roadmap!$C$5:$C$39,$A35,Roadmap!$I$5:$I$39,"Done")</f>
        <v/>
      </c>
      <c r="D35" s="9">
        <f>SUMIFS(Roadmap!$G$5:$G$39,Roadmap!$C$5:$C$39,$A35,Roadmap!$I$5:$I$39,"&lt;&gt;Done")</f>
        <v/>
      </c>
    </row>
    <row r="36">
      <c r="A36" s="8" t="inlineStr">
        <is>
          <t>SEO</t>
        </is>
      </c>
      <c r="B36" s="9">
        <f>COUNTIF(Roadmap!$C$5:$C$39,$A36)</f>
        <v/>
      </c>
      <c r="C36" s="9">
        <f>COUNTIFS(Roadmap!$C$5:$C$39,$A36,Roadmap!$I$5:$I$39,"Done")</f>
        <v/>
      </c>
      <c r="D36" s="9">
        <f>SUMIFS(Roadmap!$G$5:$G$39,Roadmap!$C$5:$C$39,$A36,Roadmap!$I$5:$I$39,"&lt;&gt;Done")</f>
        <v/>
      </c>
    </row>
    <row r="37">
      <c r="A37" s="8" t="inlineStr">
        <is>
          <t>Sales</t>
        </is>
      </c>
      <c r="B37" s="9">
        <f>COUNTIF(Roadmap!$C$5:$C$39,$A37)</f>
        <v/>
      </c>
      <c r="C37" s="9">
        <f>COUNTIFS(Roadmap!$C$5:$C$39,$A37,Roadmap!$I$5:$I$39,"Done")</f>
        <v/>
      </c>
      <c r="D37" s="9">
        <f>SUMIFS(Roadmap!$G$5:$G$39,Roadmap!$C$5:$C$39,$A37,Roadmap!$I$5:$I$39,"&lt;&gt;Done")</f>
        <v/>
      </c>
    </row>
    <row r="38">
      <c r="A38" s="8" t="inlineStr">
        <is>
          <t>Security</t>
        </is>
      </c>
      <c r="B38" s="9">
        <f>COUNTIF(Roadmap!$C$5:$C$39,$A38)</f>
        <v/>
      </c>
      <c r="C38" s="9">
        <f>COUNTIFS(Roadmap!$C$5:$C$39,$A38,Roadmap!$I$5:$I$39,"Done")</f>
        <v/>
      </c>
      <c r="D38" s="9">
        <f>SUMIFS(Roadmap!$G$5:$G$39,Roadmap!$C$5:$C$39,$A38,Roadmap!$I$5:$I$39,"&lt;&gt;Done")</f>
        <v/>
      </c>
    </row>
  </sheetData>
  <mergeCells count="2">
    <mergeCell ref="A2:H2"/>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39"/>
  <sheetViews>
    <sheetView workbookViewId="0">
      <pane ySplit="4" topLeftCell="A5" activePane="bottomLeft" state="frozen"/>
      <selection pane="bottomLeft" activeCell="A1" sqref="A1"/>
    </sheetView>
  </sheetViews>
  <sheetFormatPr baseColWidth="8" defaultRowHeight="15"/>
  <cols>
    <col width="7" customWidth="1" min="1" max="1"/>
    <col width="15" customWidth="1" min="2" max="2"/>
    <col width="15" customWidth="1" min="3" max="3"/>
    <col width="46" customWidth="1" min="4" max="4"/>
    <col width="52" customWidth="1" min="5" max="5"/>
    <col width="10" customWidth="1" min="6" max="6"/>
    <col width="10" customWidth="1" min="7" max="7"/>
    <col width="9" customWidth="1" min="8" max="8"/>
    <col width="13" customWidth="1" min="9" max="9"/>
    <col width="11" customWidth="1" min="10" max="10"/>
    <col width="12" customWidth="1" min="11" max="11"/>
    <col width="26" customWidth="1" min="12" max="12"/>
  </cols>
  <sheetData>
    <row r="1">
      <c r="A1" s="1" t="inlineStr">
        <is>
          <t>Ameya Heights — Digital Roadmap Tracker</t>
        </is>
      </c>
    </row>
    <row r="2">
      <c r="A2" s="2" t="inlineStr">
        <is>
          <t>Execution tracker for the enterprise audit. Change only the yellow columns (Status, Owner, Target date, Notes) — everything else recalculates.</t>
        </is>
      </c>
    </row>
    <row r="4" ht="26" customHeight="1">
      <c r="A4" s="11" t="inlineStr">
        <is>
          <t>ID</t>
        </is>
      </c>
      <c r="B4" s="11" t="inlineStr">
        <is>
          <t>Horizon</t>
        </is>
      </c>
      <c r="C4" s="11" t="inlineStr">
        <is>
          <t>Workstream</t>
        </is>
      </c>
      <c r="D4" s="11" t="inlineStr">
        <is>
          <t>Action</t>
        </is>
      </c>
      <c r="E4" s="11" t="inlineStr">
        <is>
          <t>Why it matters</t>
        </is>
      </c>
      <c r="F4" s="11" t="inlineStr">
        <is>
          <t>Owner</t>
        </is>
      </c>
      <c r="G4" s="11" t="inlineStr">
        <is>
          <t>Effort (h)</t>
        </is>
      </c>
      <c r="H4" s="11" t="inlineStr">
        <is>
          <t>Priority</t>
        </is>
      </c>
      <c r="I4" s="11" t="inlineStr">
        <is>
          <t>Status</t>
        </is>
      </c>
      <c r="J4" s="11" t="inlineStr">
        <is>
          <t>Blocked by</t>
        </is>
      </c>
      <c r="K4" s="11" t="inlineStr">
        <is>
          <t>Target date</t>
        </is>
      </c>
      <c r="L4" s="11" t="inlineStr">
        <is>
          <t>Notes</t>
        </is>
      </c>
    </row>
    <row r="5" ht="30" customHeight="1">
      <c r="A5" s="12" t="inlineStr">
        <is>
          <t>A1</t>
        </is>
      </c>
      <c r="B5" s="13" t="inlineStr">
        <is>
          <t>Done · v13</t>
        </is>
      </c>
      <c r="C5" s="13" t="inlineStr">
        <is>
          <t>Hygiene</t>
        </is>
      </c>
      <c r="D5" s="13" t="inlineStr">
        <is>
          <t>Delete 7 scratch HTML files from the deploy root</t>
        </is>
      </c>
      <c r="E5" s="13" t="inlineStr">
        <is>
          <t>Draft files were publicly reachable, not in sitemap, no noindex</t>
        </is>
      </c>
      <c r="F5" s="14" t="inlineStr">
        <is>
          <t>Claude</t>
        </is>
      </c>
      <c r="G5" s="15" t="n">
        <v>0.2</v>
      </c>
      <c r="H5" s="15" t="inlineStr">
        <is>
          <t>P1</t>
        </is>
      </c>
      <c r="I5" s="14" t="inlineStr">
        <is>
          <t>Done</t>
        </is>
      </c>
      <c r="J5" s="15" t="inlineStr"/>
      <c r="K5" s="14" t="inlineStr"/>
      <c r="L5" s="16" t="inlineStr"/>
    </row>
    <row r="6" ht="30" customHeight="1">
      <c r="A6" s="12" t="inlineStr">
        <is>
          <t>A2</t>
        </is>
      </c>
      <c r="B6" s="13" t="inlineStr">
        <is>
          <t>Done · v13</t>
        </is>
      </c>
      <c r="C6" s="13" t="inlineStr">
        <is>
          <t>Hygiene</t>
        </is>
      </c>
      <c r="D6" s="13" t="inlineStr">
        <is>
          <t>Add Disallow rules to robots.txt (/_ , /api/, widget)</t>
        </is>
      </c>
      <c r="E6" s="13" t="inlineStr">
        <is>
          <t>Belt-and-braces against crawling internal fragments</t>
        </is>
      </c>
      <c r="F6" s="14" t="inlineStr">
        <is>
          <t>Claude</t>
        </is>
      </c>
      <c r="G6" s="15" t="n">
        <v>0.1</v>
      </c>
      <c r="H6" s="15" t="inlineStr">
        <is>
          <t>P2</t>
        </is>
      </c>
      <c r="I6" s="14" t="inlineStr">
        <is>
          <t>Done</t>
        </is>
      </c>
      <c r="J6" s="15" t="inlineStr"/>
      <c r="K6" s="14" t="inlineStr"/>
      <c r="L6" s="16" t="inlineStr"/>
    </row>
    <row r="7" ht="30" customHeight="1">
      <c r="A7" s="12" t="inlineStr">
        <is>
          <t>A3</t>
        </is>
      </c>
      <c r="B7" s="13" t="inlineStr">
        <is>
          <t>Done · v13</t>
        </is>
      </c>
      <c r="C7" s="13" t="inlineStr">
        <is>
          <t>Performance</t>
        </is>
      </c>
      <c r="D7" s="13" t="inlineStr">
        <is>
          <t>Move 3 legal modals to on-demand /legal-modals.html</t>
        </is>
      </c>
      <c r="E7" s="13" t="inlineStr">
        <is>
          <t>Removed 860 KB of duplicated markup; homepage HTML -38%</t>
        </is>
      </c>
      <c r="F7" s="14" t="inlineStr">
        <is>
          <t>Claude</t>
        </is>
      </c>
      <c r="G7" s="15" t="n">
        <v>2</v>
      </c>
      <c r="H7" s="15" t="inlineStr">
        <is>
          <t>P1</t>
        </is>
      </c>
      <c r="I7" s="14" t="inlineStr">
        <is>
          <t>Done</t>
        </is>
      </c>
      <c r="J7" s="15" t="inlineStr"/>
      <c r="K7" s="14" t="inlineStr"/>
      <c r="L7" s="16" t="inlineStr"/>
    </row>
    <row r="8" ht="30" customHeight="1">
      <c r="A8" s="12" t="inlineStr">
        <is>
          <t>A4</t>
        </is>
      </c>
      <c r="B8" s="13" t="inlineStr">
        <is>
          <t>Done · v13</t>
        </is>
      </c>
      <c r="C8" s="13" t="inlineStr">
        <is>
          <t>Performance</t>
        </is>
      </c>
      <c r="D8" s="13" t="inlineStr">
        <is>
          <t>Lazy-load 26 non-hero images; 1 eager hero per page</t>
        </is>
      </c>
      <c r="E8" s="13" t="inlineStr">
        <is>
          <t>Frees bandwidth for the LCP element on mobile</t>
        </is>
      </c>
      <c r="F8" s="14" t="inlineStr">
        <is>
          <t>Claude</t>
        </is>
      </c>
      <c r="G8" s="15" t="n">
        <v>1</v>
      </c>
      <c r="H8" s="15" t="inlineStr">
        <is>
          <t>P1</t>
        </is>
      </c>
      <c r="I8" s="14" t="inlineStr">
        <is>
          <t>Done</t>
        </is>
      </c>
      <c r="J8" s="15" t="inlineStr"/>
      <c r="K8" s="14" t="inlineStr"/>
      <c r="L8" s="16" t="inlineStr"/>
    </row>
    <row r="9" ht="30" customHeight="1">
      <c r="A9" s="12" t="inlineStr">
        <is>
          <t>A5</t>
        </is>
      </c>
      <c r="B9" s="13" t="inlineStr">
        <is>
          <t>Done · v13</t>
        </is>
      </c>
      <c r="C9" s="13" t="inlineStr">
        <is>
          <t>Performance</t>
        </is>
      </c>
      <c r="D9" s="13" t="inlineStr">
        <is>
          <t>Add intrinsic width/height to images missing them</t>
        </is>
      </c>
      <c r="E9" s="13" t="inlineStr">
        <is>
          <t>Prevents cumulative layout shift</t>
        </is>
      </c>
      <c r="F9" s="14" t="inlineStr">
        <is>
          <t>Claude</t>
        </is>
      </c>
      <c r="G9" s="15" t="n">
        <v>0.5</v>
      </c>
      <c r="H9" s="15" t="inlineStr">
        <is>
          <t>P2</t>
        </is>
      </c>
      <c r="I9" s="14" t="inlineStr">
        <is>
          <t>Done</t>
        </is>
      </c>
      <c r="J9" s="15" t="inlineStr"/>
      <c r="K9" s="14" t="inlineStr"/>
      <c r="L9" s="16" t="inlineStr"/>
    </row>
    <row r="10" ht="30" customHeight="1">
      <c r="A10" s="12" t="inlineStr">
        <is>
          <t>A6</t>
        </is>
      </c>
      <c r="B10" s="13" t="inlineStr">
        <is>
          <t>Done · v13</t>
        </is>
      </c>
      <c r="C10" s="13" t="inlineStr">
        <is>
          <t>Performance</t>
        </is>
      </c>
      <c r="D10" s="13" t="inlineStr">
        <is>
          <t>Generate responsive variants + srcset for 5 heavy images</t>
        </is>
      </c>
      <c r="E10" s="13" t="inlineStr">
        <is>
          <t>Phones stop downloading 1600px imagery</t>
        </is>
      </c>
      <c r="F10" s="14" t="inlineStr">
        <is>
          <t>Claude</t>
        </is>
      </c>
      <c r="G10" s="15" t="n">
        <v>1.5</v>
      </c>
      <c r="H10" s="15" t="inlineStr">
        <is>
          <t>P1</t>
        </is>
      </c>
      <c r="I10" s="14" t="inlineStr">
        <is>
          <t>Done</t>
        </is>
      </c>
      <c r="J10" s="15" t="inlineStr"/>
      <c r="K10" s="14" t="inlineStr"/>
      <c r="L10" s="16" t="inlineStr"/>
    </row>
    <row r="11" ht="30" customHeight="1">
      <c r="A11" s="12" t="inlineStr">
        <is>
          <t>A7</t>
        </is>
      </c>
      <c r="B11" s="13" t="inlineStr">
        <is>
          <t>Done · v13</t>
        </is>
      </c>
      <c r="C11" s="13" t="inlineStr">
        <is>
          <t>Analytics</t>
        </is>
      </c>
      <c r="D11" s="13" t="inlineStr">
        <is>
          <t>Build track.js and wire all 8 conversion events</t>
        </is>
      </c>
      <c r="E11" s="13" t="inlineStr">
        <is>
          <t>You could not previously see which tool produces leads</t>
        </is>
      </c>
      <c r="F11" s="14" t="inlineStr">
        <is>
          <t>Claude</t>
        </is>
      </c>
      <c r="G11" s="15" t="n">
        <v>3</v>
      </c>
      <c r="H11" s="15" t="inlineStr">
        <is>
          <t>P1</t>
        </is>
      </c>
      <c r="I11" s="14" t="inlineStr">
        <is>
          <t>Done</t>
        </is>
      </c>
      <c r="J11" s="15" t="inlineStr"/>
      <c r="K11" s="14" t="inlineStr"/>
      <c r="L11" s="16" t="inlineStr"/>
    </row>
    <row r="12" ht="30" customHeight="1">
      <c r="A12" s="12" t="inlineStr">
        <is>
          <t>A8</t>
        </is>
      </c>
      <c r="B12" s="13" t="inlineStr">
        <is>
          <t>Done · v13</t>
        </is>
      </c>
      <c r="C12" s="13" t="inlineStr">
        <is>
          <t>SEO</t>
        </is>
      </c>
      <c r="D12" s="13" t="inlineStr">
        <is>
          <t>Trim 7 pages' titles/descriptions into best-practice range</t>
        </is>
      </c>
      <c r="E12" s="13" t="inlineStr">
        <is>
          <t>All 30 indexable pages now compliant</t>
        </is>
      </c>
      <c r="F12" s="14" t="inlineStr">
        <is>
          <t>Claude</t>
        </is>
      </c>
      <c r="G12" s="15" t="n">
        <v>1</v>
      </c>
      <c r="H12" s="15" t="inlineStr">
        <is>
          <t>P2</t>
        </is>
      </c>
      <c r="I12" s="14" t="inlineStr">
        <is>
          <t>Done</t>
        </is>
      </c>
      <c r="J12" s="15" t="inlineStr"/>
      <c r="K12" s="14" t="inlineStr"/>
      <c r="L12" s="16" t="inlineStr"/>
    </row>
    <row r="13" ht="30" customHeight="1">
      <c r="A13" s="12" t="inlineStr">
        <is>
          <t>A9</t>
        </is>
      </c>
      <c r="B13" s="13" t="inlineStr">
        <is>
          <t>Done · v13</t>
        </is>
      </c>
      <c r="C13" s="13" t="inlineStr">
        <is>
          <t>Resilience</t>
        </is>
      </c>
      <c r="D13" s="13" t="inlineStr">
        <is>
          <t>Lead rescue path: retry + email/webhook on sheet failure</t>
        </is>
      </c>
      <c r="E13" s="13" t="inlineStr">
        <is>
          <t>A failed sheet write no longer silently loses the enquiry</t>
        </is>
      </c>
      <c r="F13" s="14" t="inlineStr">
        <is>
          <t>Claude</t>
        </is>
      </c>
      <c r="G13" s="15" t="n">
        <v>2</v>
      </c>
      <c r="H13" s="15" t="inlineStr">
        <is>
          <t>P1</t>
        </is>
      </c>
      <c r="I13" s="14" t="inlineStr">
        <is>
          <t>Done</t>
        </is>
      </c>
      <c r="J13" s="15" t="inlineStr"/>
      <c r="K13" s="14" t="inlineStr"/>
      <c r="L13" s="16" t="inlineStr"/>
    </row>
    <row r="14" ht="30" customHeight="1">
      <c r="A14" s="12" t="inlineStr">
        <is>
          <t>A10</t>
        </is>
      </c>
      <c r="B14" s="13" t="inlineStr">
        <is>
          <t>Done · v13</t>
        </is>
      </c>
      <c r="C14" s="13" t="inlineStr">
        <is>
          <t>Code quality</t>
        </is>
      </c>
      <c r="D14" s="13" t="inlineStr">
        <is>
          <t>Replace raw control bytes in security.js with escapes</t>
        </is>
      </c>
      <c r="E14" s="13" t="inlineStr">
        <is>
          <t>Invisible characters in source can be mangled by any tool</t>
        </is>
      </c>
      <c r="F14" s="14" t="inlineStr">
        <is>
          <t>Claude</t>
        </is>
      </c>
      <c r="G14" s="15" t="n">
        <v>0.3</v>
      </c>
      <c r="H14" s="15" t="inlineStr">
        <is>
          <t>P3</t>
        </is>
      </c>
      <c r="I14" s="14" t="inlineStr">
        <is>
          <t>Done</t>
        </is>
      </c>
      <c r="J14" s="15" t="inlineStr"/>
      <c r="K14" s="14" t="inlineStr"/>
      <c r="L14" s="16" t="inlineStr"/>
    </row>
    <row r="15" ht="30" customHeight="1">
      <c r="A15" s="12" t="inlineStr">
        <is>
          <t>A11</t>
        </is>
      </c>
      <c r="B15" s="13" t="inlineStr">
        <is>
          <t>Done · v13</t>
        </is>
      </c>
      <c r="C15" s="13" t="inlineStr">
        <is>
          <t>Ops</t>
        </is>
      </c>
      <c r="D15" s="13" t="inlineStr">
        <is>
          <t>Write the operations runbook</t>
        </is>
      </c>
      <c r="E15" s="13" t="inlineStr">
        <is>
          <t>Removes key-person dependency during an incident</t>
        </is>
      </c>
      <c r="F15" s="14" t="inlineStr">
        <is>
          <t>Claude</t>
        </is>
      </c>
      <c r="G15" s="15" t="n">
        <v>2</v>
      </c>
      <c r="H15" s="15" t="inlineStr">
        <is>
          <t>P1</t>
        </is>
      </c>
      <c r="I15" s="14" t="inlineStr">
        <is>
          <t>Done</t>
        </is>
      </c>
      <c r="J15" s="15" t="inlineStr"/>
      <c r="K15" s="14" t="inlineStr"/>
      <c r="L15" s="16" t="inlineStr"/>
    </row>
    <row r="16" ht="30" customHeight="1">
      <c r="A16" s="12" t="inlineStr">
        <is>
          <t>B1</t>
        </is>
      </c>
      <c r="B16" s="13" t="inlineStr">
        <is>
          <t>H1 · Stabilise</t>
        </is>
      </c>
      <c r="C16" s="13" t="inlineStr">
        <is>
          <t>AI continuity</t>
        </is>
      </c>
      <c r="D16" s="13" t="inlineStr">
        <is>
          <t>Move off free Gemini quota, or add a failover key</t>
        </is>
      </c>
      <c r="E16" s="13" t="inlineStr">
        <is>
          <t>TOP RISK. Concierge dies at peak enquiry hours; already seen in production</t>
        </is>
      </c>
      <c r="F16" s="14" t="inlineStr">
        <is>
          <t>You</t>
        </is>
      </c>
      <c r="G16" s="15" t="n">
        <v>1</v>
      </c>
      <c r="H16" s="15" t="inlineStr">
        <is>
          <t>P1</t>
        </is>
      </c>
      <c r="I16" s="14" t="inlineStr">
        <is>
          <t>In progress</t>
        </is>
      </c>
      <c r="J16" s="15" t="inlineStr">
        <is>
          <t>two distinct models live; still one provider + one key</t>
        </is>
      </c>
      <c r="K16" s="14" t="inlineStr"/>
      <c r="L16" s="16" t="inlineStr"/>
    </row>
    <row r="17" ht="30" customHeight="1">
      <c r="A17" s="12" t="inlineStr">
        <is>
          <t>B2</t>
        </is>
      </c>
      <c r="B17" s="13" t="inlineStr">
        <is>
          <t>H1 · Stabilise</t>
        </is>
      </c>
      <c r="C17" s="13" t="inlineStr">
        <is>
          <t>Ops</t>
        </is>
      </c>
      <c r="D17" s="13" t="inlineStr">
        <is>
          <t>Add uptime monitoring on / and /api/health</t>
        </is>
      </c>
      <c r="E17" s="13" t="inlineStr">
        <is>
          <t>Today you learn the site is down from a customer</t>
        </is>
      </c>
      <c r="F17" s="14" t="inlineStr">
        <is>
          <t>You</t>
        </is>
      </c>
      <c r="G17" s="15" t="n">
        <v>1</v>
      </c>
      <c r="H17" s="15" t="inlineStr">
        <is>
          <t>P1</t>
        </is>
      </c>
      <c r="I17" s="14" t="inlineStr">
        <is>
          <t>In progress</t>
        </is>
      </c>
      <c r="J17" s="15" t="inlineStr">
        <is>
          <t>/api/monitor live + daily cron; add cron-job.org for 5-min checks</t>
        </is>
      </c>
      <c r="K17" s="14" t="inlineStr"/>
      <c r="L17" s="16" t="inlineStr"/>
    </row>
    <row r="18" ht="30" customHeight="1">
      <c r="A18" s="12" t="inlineStr">
        <is>
          <t>B3</t>
        </is>
      </c>
      <c r="B18" s="13" t="inlineStr">
        <is>
          <t>H1 · Stabilise</t>
        </is>
      </c>
      <c r="C18" s="13" t="inlineStr">
        <is>
          <t>Ops</t>
        </is>
      </c>
      <c r="D18" s="13" t="inlineStr">
        <is>
          <t>Add browser error tracking (Sentry free tier)</t>
        </is>
      </c>
      <c r="E18" s="13" t="inlineStr">
        <is>
          <t>JavaScript errors in real browsers are currently invisible</t>
        </is>
      </c>
      <c r="F18" s="14" t="inlineStr">
        <is>
          <t>You</t>
        </is>
      </c>
      <c r="G18" s="15" t="n">
        <v>1.5</v>
      </c>
      <c r="H18" s="15" t="inlineStr">
        <is>
          <t>P1</t>
        </is>
      </c>
      <c r="I18" s="14" t="inlineStr">
        <is>
          <t>Done</t>
        </is>
      </c>
      <c r="J18" s="15" t="inlineStr">
        <is>
          <t>report_endpoint:true; alert email received</t>
        </is>
      </c>
      <c r="K18" s="14" t="inlineStr"/>
      <c r="L18" s="16" t="inlineStr"/>
    </row>
    <row r="19" ht="30" customHeight="1">
      <c r="A19" s="12" t="inlineStr">
        <is>
          <t>B4</t>
        </is>
      </c>
      <c r="B19" s="13" t="inlineStr">
        <is>
          <t>H1 · Stabilise</t>
        </is>
      </c>
      <c r="C19" s="13" t="inlineStr">
        <is>
          <t>Resilience</t>
        </is>
      </c>
      <c r="D19" s="13" t="inlineStr">
        <is>
          <t>Set ALERT_EMAIL_TO + RESCUE_WEBHOOK_URL in Vercel</t>
        </is>
      </c>
      <c r="E19" s="13" t="inlineStr">
        <is>
          <t>Activates the rescue path built in A9 — it is inert without these</t>
        </is>
      </c>
      <c r="F19" s="14" t="inlineStr">
        <is>
          <t>You</t>
        </is>
      </c>
      <c r="G19" s="15" t="n">
        <v>0.3</v>
      </c>
      <c r="H19" s="15" t="inlineStr">
        <is>
          <t>P1</t>
        </is>
      </c>
      <c r="I19" s="14" t="inlineStr">
        <is>
          <t>Done</t>
        </is>
      </c>
      <c r="J19" s="15" t="inlineStr">
        <is>
          <t>routed via Apps Script relay; testAlerts confirmed</t>
        </is>
      </c>
      <c r="K19" s="14" t="inlineStr"/>
      <c r="L19" s="16" t="inlineStr"/>
    </row>
    <row r="20" ht="30" customHeight="1">
      <c r="A20" s="12" t="inlineStr">
        <is>
          <t>B5</t>
        </is>
      </c>
      <c r="B20" s="13" t="inlineStr">
        <is>
          <t>H1 · Stabilise</t>
        </is>
      </c>
      <c r="C20" s="13" t="inlineStr">
        <is>
          <t>Deploy</t>
        </is>
      </c>
      <c r="D20" s="13" t="inlineStr">
        <is>
          <t>Deploy build v13 and verify the ?v= bumps took effect</t>
        </is>
      </c>
      <c r="E20" s="13" t="inlineStr">
        <is>
          <t>Stale CDN copies are invisible failures</t>
        </is>
      </c>
      <c r="F20" s="14" t="inlineStr">
        <is>
          <t>You</t>
        </is>
      </c>
      <c r="G20" s="15" t="n">
        <v>0.5</v>
      </c>
      <c r="H20" s="15" t="inlineStr">
        <is>
          <t>P1</t>
        </is>
      </c>
      <c r="I20" s="14" t="inlineStr">
        <is>
          <t>Done</t>
        </is>
      </c>
      <c r="J20" s="15" t="inlineStr">
        <is>
          <t>v18 live; verified by asset probe</t>
        </is>
      </c>
      <c r="K20" s="14" t="inlineStr"/>
      <c r="L20" s="16" t="inlineStr"/>
    </row>
    <row r="21" ht="30" customHeight="1">
      <c r="A21" s="12" t="inlineStr">
        <is>
          <t>B6</t>
        </is>
      </c>
      <c r="B21" s="13" t="inlineStr">
        <is>
          <t>H1 · Stabilise</t>
        </is>
      </c>
      <c r="C21" s="13" t="inlineStr">
        <is>
          <t>AI</t>
        </is>
      </c>
      <c r="D21" s="13" t="inlineStr">
        <is>
          <t>Turn on the chat log endpoint</t>
        </is>
      </c>
      <c r="E21" s="13" t="inlineStr">
        <is>
          <t>You cannot improve what you cannot see</t>
        </is>
      </c>
      <c r="F21" s="14" t="inlineStr">
        <is>
          <t>You</t>
        </is>
      </c>
      <c r="G21" s="15" t="n">
        <v>0.5</v>
      </c>
      <c r="H21" s="15" t="inlineStr">
        <is>
          <t>P1</t>
        </is>
      </c>
      <c r="I21" s="14" t="inlineStr">
        <is>
          <t>Done</t>
        </is>
      </c>
      <c r="J21" s="15" t="inlineStr">
        <is>
          <t>chat_log_endpoint:true confirmed live</t>
        </is>
      </c>
      <c r="K21" s="14" t="inlineStr"/>
      <c r="L21" s="16" t="inlineStr"/>
    </row>
    <row r="22" ht="30" customHeight="1">
      <c r="A22" s="12" t="inlineStr">
        <is>
          <t>B7</t>
        </is>
      </c>
      <c r="B22" s="13" t="inlineStr">
        <is>
          <t>H1 · Stabilise</t>
        </is>
      </c>
      <c r="C22" s="13" t="inlineStr">
        <is>
          <t>Ops</t>
        </is>
      </c>
      <c r="D22" s="13" t="inlineStr">
        <is>
          <t>Run checkSender + sendTestEmail, publish a New Version</t>
        </is>
      </c>
      <c r="E22" s="13" t="inlineStr">
        <is>
          <t>Apps Script edits do not go live until a new version is published</t>
        </is>
      </c>
      <c r="F22" s="14" t="inlineStr">
        <is>
          <t>You</t>
        </is>
      </c>
      <c r="G22" s="15" t="n">
        <v>0.5</v>
      </c>
      <c r="H22" s="15" t="inlineStr">
        <is>
          <t>P1</t>
        </is>
      </c>
      <c r="I22" s="14" t="inlineStr">
        <is>
          <t>Not started</t>
        </is>
      </c>
      <c r="J22" s="15" t="inlineStr"/>
      <c r="K22" s="14" t="inlineStr"/>
      <c r="L22" s="16" t="inlineStr"/>
    </row>
    <row r="23" ht="30" customHeight="1">
      <c r="A23" s="12" t="inlineStr">
        <is>
          <t>B8</t>
        </is>
      </c>
      <c r="B23" s="13" t="inlineStr">
        <is>
          <t>H1 · Stabilise</t>
        </is>
      </c>
      <c r="C23" s="13" t="inlineStr">
        <is>
          <t>Analytics</t>
        </is>
      </c>
      <c r="D23" s="13" t="inlineStr">
        <is>
          <t>Create the 8 events as GA4 conversions in GTM</t>
        </is>
      </c>
      <c r="E23" s="13" t="inlineStr">
        <is>
          <t>Events fire but are not yet registered as conversions</t>
        </is>
      </c>
      <c r="F23" s="14" t="inlineStr">
        <is>
          <t>You</t>
        </is>
      </c>
      <c r="G23" s="15" t="n">
        <v>1</v>
      </c>
      <c r="H23" s="15" t="inlineStr">
        <is>
          <t>P2</t>
        </is>
      </c>
      <c r="I23" s="14" t="inlineStr">
        <is>
          <t>Not started</t>
        </is>
      </c>
      <c r="J23" s="15" t="inlineStr">
        <is>
          <t>A7</t>
        </is>
      </c>
      <c r="K23" s="14" t="inlineStr"/>
      <c r="L23" s="16" t="inlineStr"/>
    </row>
    <row r="24" ht="30" customHeight="1">
      <c r="A24" s="12" t="inlineStr">
        <is>
          <t>C1</t>
        </is>
      </c>
      <c r="B24" s="13" t="inlineStr">
        <is>
          <t>H2 · Instrument</t>
        </is>
      </c>
      <c r="C24" s="13" t="inlineStr">
        <is>
          <t>Performance</t>
        </is>
      </c>
      <c r="D24" s="13" t="inlineStr">
        <is>
          <t>Run PageSpeed Insights; record real Core Web Vitals</t>
        </is>
      </c>
      <c r="E24" s="13" t="inlineStr">
        <is>
          <t>Replaces my projection with measured field data</t>
        </is>
      </c>
      <c r="F24" s="14" t="inlineStr">
        <is>
          <t>You</t>
        </is>
      </c>
      <c r="G24" s="15" t="n">
        <v>0.5</v>
      </c>
      <c r="H24" s="15" t="inlineStr">
        <is>
          <t>P1</t>
        </is>
      </c>
      <c r="I24" s="14" t="inlineStr">
        <is>
          <t>Done</t>
        </is>
      </c>
      <c r="J24" s="15" t="inlineStr">
        <is>
          <t>mobile 71 / desktop 93; LCP 5.3s mobile</t>
        </is>
      </c>
      <c r="K24" s="14" t="inlineStr"/>
      <c r="L24" s="16" t="inlineStr"/>
    </row>
    <row r="25" ht="30" customHeight="1">
      <c r="A25" s="12" t="inlineStr">
        <is>
          <t>C2</t>
        </is>
      </c>
      <c r="B25" s="13" t="inlineStr">
        <is>
          <t>H2 · Instrument</t>
        </is>
      </c>
      <c r="C25" s="13" t="inlineStr">
        <is>
          <t>SEO</t>
        </is>
      </c>
      <c r="D25" s="13" t="inlineStr">
        <is>
          <t>Pull Search Console impressions, position, coverage</t>
        </is>
      </c>
      <c r="E25" s="13" t="inlineStr">
        <is>
          <t>Establishes the organic baseline this audit could not verify</t>
        </is>
      </c>
      <c r="F25" s="14" t="inlineStr">
        <is>
          <t>You</t>
        </is>
      </c>
      <c r="G25" s="15" t="n">
        <v>1</v>
      </c>
      <c r="H25" s="15" t="inlineStr">
        <is>
          <t>P1</t>
        </is>
      </c>
      <c r="I25" s="14" t="inlineStr">
        <is>
          <t>Not started</t>
        </is>
      </c>
      <c r="J25" s="15" t="inlineStr"/>
      <c r="K25" s="14" t="inlineStr"/>
      <c r="L25" s="16" t="inlineStr"/>
    </row>
    <row r="26" ht="30" customHeight="1">
      <c r="A26" s="12" t="inlineStr">
        <is>
          <t>C3</t>
        </is>
      </c>
      <c r="B26" s="13" t="inlineStr">
        <is>
          <t>H2 · Instrument</t>
        </is>
      </c>
      <c r="C26" s="13" t="inlineStr">
        <is>
          <t>SEO</t>
        </is>
      </c>
      <c r="D26" s="13" t="inlineStr">
        <is>
          <t>Check referring domains (Ahrefs free authority checker)</t>
        </is>
      </c>
      <c r="E26" s="13" t="inlineStr">
        <is>
          <t>Authority, not markup, is your binding SEO constraint</t>
        </is>
      </c>
      <c r="F26" s="14" t="inlineStr">
        <is>
          <t>You</t>
        </is>
      </c>
      <c r="G26" s="15" t="n">
        <v>0.5</v>
      </c>
      <c r="H26" s="15" t="inlineStr">
        <is>
          <t>P1</t>
        </is>
      </c>
      <c r="I26" s="14" t="inlineStr">
        <is>
          <t>Not started</t>
        </is>
      </c>
      <c r="J26" s="15" t="inlineStr"/>
      <c r="K26" s="14" t="inlineStr"/>
      <c r="L26" s="16" t="inlineStr"/>
    </row>
    <row r="27" ht="30" customHeight="1">
      <c r="A27" s="12" t="inlineStr">
        <is>
          <t>C4</t>
        </is>
      </c>
      <c r="B27" s="13" t="inlineStr">
        <is>
          <t>H2 · Instrument</t>
        </is>
      </c>
      <c r="C27" s="13" t="inlineStr">
        <is>
          <t>AI</t>
        </is>
      </c>
      <c r="D27" s="13" t="inlineStr">
        <is>
          <t>Review chat transcripts weekly; log recurring questions</t>
        </is>
      </c>
      <c r="E27" s="13" t="inlineStr">
        <is>
          <t>Buyer questions are free market research</t>
        </is>
      </c>
      <c r="F27" s="14" t="inlineStr">
        <is>
          <t>You</t>
        </is>
      </c>
      <c r="G27" s="15" t="n">
        <v>1</v>
      </c>
      <c r="H27" s="15" t="inlineStr">
        <is>
          <t>P2</t>
        </is>
      </c>
      <c r="I27" s="14" t="inlineStr">
        <is>
          <t>Not started</t>
        </is>
      </c>
      <c r="J27" s="15" t="inlineStr">
        <is>
          <t>B6</t>
        </is>
      </c>
      <c r="K27" s="14" t="inlineStr"/>
      <c r="L27" s="16" t="inlineStr"/>
    </row>
    <row r="28" ht="30" customHeight="1">
      <c r="A28" s="12" t="inlineStr">
        <is>
          <t>C5</t>
        </is>
      </c>
      <c r="B28" s="13" t="inlineStr">
        <is>
          <t>H2 · Instrument</t>
        </is>
      </c>
      <c r="C28" s="13" t="inlineStr">
        <is>
          <t>Accessibility</t>
        </is>
      </c>
      <c r="D28" s="13" t="inlineStr">
        <is>
          <t>axe DevTools pass + manual screen-reader check</t>
        </is>
      </c>
      <c r="E28" s="13" t="inlineStr">
        <is>
          <t>Automated layer is clean; lets you claim WCAG 2.1 AA with confidence</t>
        </is>
      </c>
      <c r="F28" s="14" t="inlineStr">
        <is>
          <t>You</t>
        </is>
      </c>
      <c r="G28" s="15" t="n">
        <v>3</v>
      </c>
      <c r="H28" s="15" t="inlineStr">
        <is>
          <t>P2</t>
        </is>
      </c>
      <c r="I28" s="14" t="inlineStr">
        <is>
          <t>In progress</t>
        </is>
      </c>
      <c r="J28" s="15" t="inlineStr">
        <is>
          <t>Skip links 46/46 done; manual screen-reader pass still open</t>
        </is>
      </c>
      <c r="K28" s="14" t="inlineStr"/>
      <c r="L28" s="16" t="inlineStr"/>
    </row>
    <row r="29" ht="30" customHeight="1">
      <c r="A29" s="12" t="inlineStr">
        <is>
          <t>C6</t>
        </is>
      </c>
      <c r="B29" s="13" t="inlineStr">
        <is>
          <t>H2 · Instrument</t>
        </is>
      </c>
      <c r="C29" s="13" t="inlineStr">
        <is>
          <t>Compliance</t>
        </is>
      </c>
      <c r="D29" s="13" t="inlineStr">
        <is>
          <t>Have an Indian privacy practitioner review DPDPA consent</t>
        </is>
      </c>
      <c r="E29" s="13" t="inlineStr">
        <is>
          <t>Itemised notice + documented erasure process are required</t>
        </is>
      </c>
      <c r="F29" s="14" t="inlineStr">
        <is>
          <t>Counsel</t>
        </is>
      </c>
      <c r="G29" s="15" t="n">
        <v>4</v>
      </c>
      <c r="H29" s="15" t="inlineStr">
        <is>
          <t>P1</t>
        </is>
      </c>
      <c r="I29" s="14" t="inlineStr">
        <is>
          <t>Not started</t>
        </is>
      </c>
      <c r="J29" s="15" t="inlineStr"/>
      <c r="K29" s="14" t="inlineStr"/>
      <c r="L29" s="16" t="inlineStr"/>
    </row>
    <row r="30" ht="30" customHeight="1">
      <c r="A30" s="12" t="inlineStr">
        <is>
          <t>C7</t>
        </is>
      </c>
      <c r="B30" s="13" t="inlineStr">
        <is>
          <t>H2 · Instrument</t>
        </is>
      </c>
      <c r="C30" s="13" t="inlineStr">
        <is>
          <t>Resilience</t>
        </is>
      </c>
      <c r="D30" s="13" t="inlineStr">
        <is>
          <t>Weekly automated backup of the Leads sheet</t>
        </is>
      </c>
      <c r="E30" s="13" t="inlineStr">
        <is>
          <t>Currently Google durability only; no independent copy</t>
        </is>
      </c>
      <c r="F30" s="14" t="inlineStr">
        <is>
          <t>You</t>
        </is>
      </c>
      <c r="G30" s="15" t="n">
        <v>1.5</v>
      </c>
      <c r="H30" s="15" t="inlineStr">
        <is>
          <t>P2</t>
        </is>
      </c>
      <c r="I30" s="14" t="inlineStr">
        <is>
          <t>In progress</t>
        </is>
      </c>
      <c r="J30" s="15" t="inlineStr">
        <is>
          <t>IDs filled in; run backupLeads() once + add the weekly trigger</t>
        </is>
      </c>
      <c r="K30" s="14" t="inlineStr"/>
      <c r="L30" s="16" t="inlineStr"/>
    </row>
    <row r="31" ht="30" customHeight="1">
      <c r="A31" s="12" t="inlineStr">
        <is>
          <t>C8</t>
        </is>
      </c>
      <c r="B31" s="13" t="inlineStr">
        <is>
          <t>H2 · Instrument</t>
        </is>
      </c>
      <c r="C31" s="13" t="inlineStr">
        <is>
          <t>Performance</t>
        </is>
      </c>
      <c r="D31" s="13" t="inlineStr">
        <is>
          <t>Convert remaining legacy JPG/PNG files to WebP</t>
        </is>
      </c>
      <c r="E31" s="13" t="inlineStr">
        <is>
          <t>Typically 25-35% smaller at equal quality</t>
        </is>
      </c>
      <c r="F31" s="14" t="inlineStr">
        <is>
          <t>You</t>
        </is>
      </c>
      <c r="G31" s="15" t="n">
        <v>2</v>
      </c>
      <c r="H31" s="15" t="inlineStr">
        <is>
          <t>P3</t>
        </is>
      </c>
      <c r="I31" s="14" t="inlineStr">
        <is>
          <t>Done</t>
        </is>
      </c>
      <c r="J31" s="15" t="inlineStr">
        <is>
          <t>4 of 7 converted; 3 refused (WebP was larger)</t>
        </is>
      </c>
      <c r="K31" s="14" t="inlineStr"/>
      <c r="L31" s="16" t="inlineStr"/>
    </row>
    <row r="32" ht="30" customHeight="1">
      <c r="A32" s="12" t="inlineStr">
        <is>
          <t>D1</t>
        </is>
      </c>
      <c r="B32" s="13" t="inlineStr">
        <is>
          <t>H3 · Compound</t>
        </is>
      </c>
      <c r="C32" s="13" t="inlineStr">
        <is>
          <t>Engineering</t>
        </is>
      </c>
      <c r="D32" s="13" t="inlineStr">
        <is>
          <t>Minimal build step with content-hashed asset filenames</t>
        </is>
      </c>
      <c r="E32" s="13" t="inlineStr">
        <is>
          <t>Permanently ends the manual ?v= fragility</t>
        </is>
      </c>
      <c r="F32" s="14" t="inlineStr">
        <is>
          <t>Dev</t>
        </is>
      </c>
      <c r="G32" s="15" t="n">
        <v>8</v>
      </c>
      <c r="H32" s="15" t="inlineStr">
        <is>
          <t>P2</t>
        </is>
      </c>
      <c r="I32" s="14" t="inlineStr">
        <is>
          <t>Done</t>
        </is>
      </c>
      <c r="J32" s="15" t="inlineStr">
        <is>
          <t>stamp-assets.mjs + build.py path bug fixed</t>
        </is>
      </c>
      <c r="K32" s="14" t="inlineStr"/>
      <c r="L32" s="16" t="inlineStr"/>
    </row>
    <row r="33" ht="30" customHeight="1">
      <c r="A33" s="12" t="inlineStr">
        <is>
          <t>D2</t>
        </is>
      </c>
      <c r="B33" s="13" t="inlineStr">
        <is>
          <t>H3 · Compound</t>
        </is>
      </c>
      <c r="C33" s="13" t="inlineStr">
        <is>
          <t>Engineering</t>
        </is>
      </c>
      <c r="D33" s="13" t="inlineStr">
        <is>
          <t>Smoke tests on Vercel preview deploys</t>
        </is>
      </c>
      <c r="E33" s="13" t="inlineStr">
        <is>
          <t>Nothing currently stops a broken deploy reaching production</t>
        </is>
      </c>
      <c r="F33" s="14" t="inlineStr">
        <is>
          <t>Dev</t>
        </is>
      </c>
      <c r="G33" s="15" t="n">
        <v>8</v>
      </c>
      <c r="H33" s="15" t="inlineStr">
        <is>
          <t>P2</t>
        </is>
      </c>
      <c r="I33" s="14" t="inlineStr">
        <is>
          <t>Done</t>
        </is>
      </c>
      <c r="J33" s="15" t="inlineStr">
        <is>
          <t>36 tests passing, desktop + mobile</t>
        </is>
      </c>
      <c r="K33" s="14" t="inlineStr"/>
      <c r="L33" s="16" t="inlineStr"/>
    </row>
    <row r="34" ht="30" customHeight="1">
      <c r="A34" s="12" t="inlineStr">
        <is>
          <t>D3</t>
        </is>
      </c>
      <c r="B34" s="13" t="inlineStr">
        <is>
          <t>H3 · Compound</t>
        </is>
      </c>
      <c r="C34" s="13" t="inlineStr">
        <is>
          <t>Channels</t>
        </is>
      </c>
      <c r="D34" s="13" t="inlineStr">
        <is>
          <t>Activate WhatsApp Business API (scaffolding already built)</t>
        </is>
      </c>
      <c r="E34" s="13" t="inlineStr">
        <is>
          <t>Where Indian buyers actually converse; same brain</t>
        </is>
      </c>
      <c r="F34" s="14" t="inlineStr">
        <is>
          <t>You</t>
        </is>
      </c>
      <c r="G34" s="15" t="n">
        <v>6</v>
      </c>
      <c r="H34" s="15" t="inlineStr">
        <is>
          <t>P2</t>
        </is>
      </c>
      <c r="I34" s="14" t="inlineStr">
        <is>
          <t>Not started</t>
        </is>
      </c>
      <c r="J34" s="15" t="inlineStr">
        <is>
          <t>Scaffolding built; needs Meta credentials</t>
        </is>
      </c>
      <c r="K34" s="14" t="inlineStr"/>
      <c r="L34" s="16" t="inlineStr"/>
    </row>
    <row r="35" ht="30" customHeight="1">
      <c r="A35" s="12" t="inlineStr">
        <is>
          <t>D4</t>
        </is>
      </c>
      <c r="B35" s="13" t="inlineStr">
        <is>
          <t>H3 · Compound</t>
        </is>
      </c>
      <c r="C35" s="13" t="inlineStr">
        <is>
          <t>Growth</t>
        </is>
      </c>
      <c r="D35" s="13" t="inlineStr">
        <is>
          <t>Portal listings + digital PR: first 20 referring domains</t>
        </is>
      </c>
      <c r="E35" s="13" t="inlineStr">
        <is>
          <t>The single biggest lever on organic visibility</t>
        </is>
      </c>
      <c r="F35" s="14" t="inlineStr">
        <is>
          <t>You</t>
        </is>
      </c>
      <c r="G35" s="15" t="n">
        <v>20</v>
      </c>
      <c r="H35" s="15" t="inlineStr">
        <is>
          <t>P1</t>
        </is>
      </c>
      <c r="I35" s="14" t="inlineStr">
        <is>
          <t>In progress</t>
        </is>
      </c>
      <c r="J35" s="15" t="inlineStr">
        <is>
          <t>Authority plan delivered; outreach is yours</t>
        </is>
      </c>
      <c r="K35" s="14" t="inlineStr"/>
      <c r="L35" s="16" t="inlineStr"/>
    </row>
    <row r="36" ht="30" customHeight="1">
      <c r="A36" s="12" t="inlineStr">
        <is>
          <t>D5</t>
        </is>
      </c>
      <c r="B36" s="13" t="inlineStr">
        <is>
          <t>H3 · Compound</t>
        </is>
      </c>
      <c r="C36" s="13" t="inlineStr">
        <is>
          <t>Content</t>
        </is>
      </c>
      <c r="D36" s="13" t="inlineStr">
        <is>
          <t>Publish pages answering the top chat questions</t>
        </is>
      </c>
      <c r="E36" s="13" t="inlineStr">
        <is>
          <t>Content that earns links because it answers real demand</t>
        </is>
      </c>
      <c r="F36" s="14" t="inlineStr">
        <is>
          <t>You</t>
        </is>
      </c>
      <c r="G36" s="15" t="n">
        <v>12</v>
      </c>
      <c r="H36" s="15" t="inlineStr">
        <is>
          <t>P2</t>
        </is>
      </c>
      <c r="I36" s="14" t="inlineStr">
        <is>
          <t>Not started</t>
        </is>
      </c>
      <c r="J36" s="15" t="inlineStr">
        <is>
          <t>C4</t>
        </is>
      </c>
      <c r="K36" s="14" t="inlineStr"/>
      <c r="L36" s="16" t="inlineStr"/>
    </row>
    <row r="37" ht="30" customHeight="1">
      <c r="A37" s="12" t="inlineStr">
        <is>
          <t>D6</t>
        </is>
      </c>
      <c r="B37" s="13" t="inlineStr">
        <is>
          <t>H3 · Compound</t>
        </is>
      </c>
      <c r="C37" s="13" t="inlineStr">
        <is>
          <t>Sales</t>
        </is>
      </c>
      <c r="D37" s="13" t="inlineStr">
        <is>
          <t>Staff the human handoff console</t>
        </is>
      </c>
      <c r="E37" s="13" t="inlineStr">
        <is>
          <t>Routing exists; nobody is behind it</t>
        </is>
      </c>
      <c r="F37" s="14" t="inlineStr">
        <is>
          <t>You</t>
        </is>
      </c>
      <c r="G37" s="15" t="n">
        <v>4</v>
      </c>
      <c r="H37" s="15" t="inlineStr">
        <is>
          <t>P2</t>
        </is>
      </c>
      <c r="I37" s="14" t="inlineStr">
        <is>
          <t>Not started</t>
        </is>
      </c>
      <c r="J37" s="15" t="inlineStr"/>
      <c r="K37" s="14" t="inlineStr"/>
      <c r="L37" s="16" t="inlineStr"/>
    </row>
    <row r="38" ht="30" customHeight="1">
      <c r="A38" s="12" t="inlineStr">
        <is>
          <t>D7</t>
        </is>
      </c>
      <c r="B38" s="13" t="inlineStr">
        <is>
          <t>H3 · Compound</t>
        </is>
      </c>
      <c r="C38" s="13" t="inlineStr">
        <is>
          <t>Security</t>
        </is>
      </c>
      <c r="D38" s="13" t="inlineStr">
        <is>
          <t>Migrate CSP from 'unsafe-inline' to nonce-based</t>
        </is>
      </c>
      <c r="E38" s="13" t="inlineStr">
        <is>
          <t>Closes the last real softness in an otherwise strong policy</t>
        </is>
      </c>
      <c r="F38" s="14" t="inlineStr">
        <is>
          <t>Dev</t>
        </is>
      </c>
      <c r="G38" s="15" t="n">
        <v>6</v>
      </c>
      <c r="H38" s="15" t="inlineStr">
        <is>
          <t>P2</t>
        </is>
      </c>
      <c r="I38" s="14" t="inlineStr">
        <is>
          <t>Not started</t>
        </is>
      </c>
      <c r="J38" s="15" t="inlineStr">
        <is>
          <t>D1</t>
        </is>
      </c>
      <c r="K38" s="14" t="inlineStr"/>
      <c r="L38" s="16" t="inlineStr"/>
    </row>
    <row r="39" ht="30" customHeight="1">
      <c r="A39" s="12" t="inlineStr">
        <is>
          <t>D8</t>
        </is>
      </c>
      <c r="B39" s="13" t="inlineStr">
        <is>
          <t>H3 · Compound</t>
        </is>
      </c>
      <c r="C39" s="13" t="inlineStr">
        <is>
          <t>Ops</t>
        </is>
      </c>
      <c r="D39" s="13" t="inlineStr">
        <is>
          <t>Dependency scanning (Dependabot / npm audit in CI)</t>
        </is>
      </c>
      <c r="E39" s="13" t="inlineStr">
        <is>
          <t>Vulnerable libraries currently go unnoticed</t>
        </is>
      </c>
      <c r="F39" s="14" t="inlineStr">
        <is>
          <t>Dev</t>
        </is>
      </c>
      <c r="G39" s="15" t="n">
        <v>2</v>
      </c>
      <c r="H39" s="15" t="inlineStr">
        <is>
          <t>P3</t>
        </is>
      </c>
      <c r="I39" s="14" t="inlineStr">
        <is>
          <t>Done</t>
        </is>
      </c>
      <c r="J39" s="15" t="inlineStr">
        <is>
          <t>CI audit job + Dependabot</t>
        </is>
      </c>
      <c r="K39" s="14" t="inlineStr"/>
      <c r="L39" s="16" t="inlineStr"/>
    </row>
  </sheetData>
  <autoFilter ref="A4:L39"/>
  <mergeCells count="2">
    <mergeCell ref="A2:L2"/>
    <mergeCell ref="A1:L1"/>
  </mergeCells>
  <conditionalFormatting sqref="A5:L39">
    <cfRule type="expression" priority="1" dxfId="0" stopIfTrue="0">
      <formula>$I5="Done"</formula>
    </cfRule>
    <cfRule type="expression" priority="2" dxfId="1" stopIfTrue="0">
      <formula>$I5="In progress"</formula>
    </cfRule>
    <cfRule type="expression" priority="3" dxfId="2" stopIfTrue="0">
      <formula>$I5="Blocked"</formula>
    </cfRule>
  </conditionalFormatting>
  <conditionalFormatting sqref="H5:H39">
    <cfRule type="cellIs" priority="4" operator="equal" dxfId="3">
      <formula>"P1"</formula>
    </cfRule>
  </conditionalFormatting>
  <dataValidations count="2">
    <dataValidation sqref="I5:I39" showDropDown="0" showInputMessage="0" showErrorMessage="0" allowBlank="1" type="list">
      <formula1>"Not started,In progress,Blocked,Done,Dropped"</formula1>
    </dataValidation>
    <dataValidation sqref="H5:H39" showDropDown="0" showInputMessage="0" showErrorMessage="0" allowBlank="1" type="list">
      <formula1>"P1,P2,P3"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5"/>
  <cols>
    <col width="32" customWidth="1" min="1" max="1"/>
    <col width="10" customWidth="1" min="2" max="2"/>
    <col width="10" customWidth="1" min="3" max="3"/>
    <col width="10" customWidth="1" min="4" max="4"/>
    <col width="8" customWidth="1" min="5" max="5"/>
    <col width="52" customWidth="1" min="6" max="6"/>
  </cols>
  <sheetData>
    <row r="1">
      <c r="A1" s="1" t="inlineStr">
        <is>
          <t>Audit Scorecard — current vs. target</t>
        </is>
      </c>
    </row>
    <row r="2">
      <c r="A2" s="2" t="inlineStr">
        <is>
          <t>Current scores are from the July 2026 audit. Target is what closing the roadmap should achieve. Update 'Current' after you re-audit.</t>
        </is>
      </c>
    </row>
    <row r="4">
      <c r="A4" s="7" t="inlineStr">
        <is>
          <t>Category</t>
        </is>
      </c>
      <c r="B4" s="7" t="inlineStr">
        <is>
          <t>Weight %</t>
        </is>
      </c>
      <c r="C4" s="7" t="inlineStr">
        <is>
          <t>Current</t>
        </is>
      </c>
      <c r="D4" s="7" t="inlineStr">
        <is>
          <t>Target</t>
        </is>
      </c>
      <c r="E4" s="7" t="inlineStr">
        <is>
          <t>Gap</t>
        </is>
      </c>
      <c r="F4" s="7" t="inlineStr">
        <is>
          <t>What closes the gap</t>
        </is>
      </c>
    </row>
    <row r="5">
      <c r="A5" s="8" t="inlineStr">
        <is>
          <t>Innovation &amp; differentiation</t>
        </is>
      </c>
      <c r="B5" s="17" t="n">
        <v>0.04</v>
      </c>
      <c r="C5" s="18" t="n">
        <v>93</v>
      </c>
      <c r="D5" s="19" t="n">
        <v>95</v>
      </c>
      <c r="E5" s="19">
        <f>D5-C5</f>
        <v/>
      </c>
      <c r="F5" s="20" t="inlineStr">
        <is>
          <t>Already category-leading; maintain</t>
        </is>
      </c>
    </row>
    <row r="6">
      <c r="A6" s="8" t="inlineStr">
        <is>
          <t>AI readiness</t>
        </is>
      </c>
      <c r="B6" s="17" t="n">
        <v>0.1</v>
      </c>
      <c r="C6" s="18" t="n">
        <v>93</v>
      </c>
      <c r="D6" s="19" t="n">
        <v>96</v>
      </c>
      <c r="E6" s="19">
        <f>D6-C6</f>
        <v/>
      </c>
      <c r="F6" s="20" t="inlineStr">
        <is>
          <t>Paid quota / failover ends the fragility (B1)</t>
        </is>
      </c>
    </row>
    <row r="7">
      <c r="A7" s="8" t="inlineStr">
        <is>
          <t>SEO &amp; discoverability</t>
        </is>
      </c>
      <c r="B7" s="17" t="n">
        <v>0.1</v>
      </c>
      <c r="C7" s="18" t="n">
        <v>90</v>
      </c>
      <c r="D7" s="19" t="n">
        <v>93</v>
      </c>
      <c r="E7" s="19">
        <f>D7-C7</f>
        <v/>
      </c>
      <c r="F7" s="20" t="inlineStr">
        <is>
          <t>Authority work: referring domains (D4)</t>
        </is>
      </c>
    </row>
    <row r="8">
      <c r="A8" s="8" t="inlineStr">
        <is>
          <t>Security posture</t>
        </is>
      </c>
      <c r="B8" s="17" t="n">
        <v>0.12</v>
      </c>
      <c r="C8" s="18" t="n">
        <v>86</v>
      </c>
      <c r="D8" s="19" t="n">
        <v>93</v>
      </c>
      <c r="E8" s="19">
        <f>D8-C8</f>
        <v/>
      </c>
      <c r="F8" s="20" t="inlineStr">
        <is>
          <t>Nonce-based CSP (D7); DPDPA review (C6)</t>
        </is>
      </c>
    </row>
    <row r="9">
      <c r="A9" s="8" t="inlineStr">
        <is>
          <t>UX &amp; accessibility</t>
        </is>
      </c>
      <c r="B9" s="17" t="n">
        <v>0.08</v>
      </c>
      <c r="C9" s="18" t="n">
        <v>88</v>
      </c>
      <c r="D9" s="19" t="n">
        <v>92</v>
      </c>
      <c r="E9" s="19">
        <f>D9-C9</f>
        <v/>
      </c>
      <c r="F9" s="20" t="inlineStr">
        <is>
          <t>Manual a11y pass + skip links (C5)</t>
        </is>
      </c>
    </row>
    <row r="10">
      <c r="A10" s="8" t="inlineStr">
        <is>
          <t>Website health</t>
        </is>
      </c>
      <c r="B10" s="17" t="n">
        <v>0.08</v>
      </c>
      <c r="C10" s="18" t="n">
        <v>92</v>
      </c>
      <c r="D10" s="19" t="n">
        <v>95</v>
      </c>
      <c r="E10" s="19">
        <f>D10-C10</f>
        <v/>
      </c>
      <c r="F10" s="20" t="inlineStr">
        <is>
          <t>CORRECTED: a CI gate was already present; 36 tests now green</t>
        </is>
      </c>
    </row>
    <row r="11">
      <c r="A11" s="8" t="inlineStr">
        <is>
          <t>Scalability &amp; cost</t>
        </is>
      </c>
      <c r="B11" s="17" t="n">
        <v>0.06</v>
      </c>
      <c r="C11" s="18" t="n">
        <v>83</v>
      </c>
      <c r="D11" s="19" t="n">
        <v>88</v>
      </c>
      <c r="E11" s="19">
        <f>D11-C11</f>
        <v/>
      </c>
      <c r="F11" s="20" t="inlineStr">
        <is>
          <t>AI quota is the only real ceiling (B1)</t>
        </is>
      </c>
    </row>
    <row r="12">
      <c r="A12" s="8" t="inlineStr">
        <is>
          <t>Conversion architecture</t>
        </is>
      </c>
      <c r="B12" s="17" t="n">
        <v>0.1</v>
      </c>
      <c r="C12" s="18" t="n">
        <v>80</v>
      </c>
      <c r="D12" s="19" t="n">
        <v>88</v>
      </c>
      <c r="E12" s="19">
        <f>D12-C12</f>
        <v/>
      </c>
      <c r="F12" s="20" t="inlineStr">
        <is>
          <t>Events now firing (A7); register conversions (B8)</t>
        </is>
      </c>
    </row>
    <row r="13">
      <c r="A13" s="8" t="inlineStr">
        <is>
          <t>Technology maturity</t>
        </is>
      </c>
      <c r="B13" s="17" t="n">
        <v>0.1</v>
      </c>
      <c r="C13" s="18" t="n">
        <v>90</v>
      </c>
      <c r="D13" s="19" t="n">
        <v>93</v>
      </c>
      <c r="E13" s="19">
        <f>D13-C13</f>
        <v/>
      </c>
      <c r="F13" s="20" t="inlineStr">
        <is>
          <t>CORRECTED: build.py, CI and tests already existed; audit understated this</t>
        </is>
      </c>
    </row>
    <row r="14">
      <c r="A14" s="8" t="inlineStr">
        <is>
          <t>Performance</t>
        </is>
      </c>
      <c r="B14" s="17" t="n">
        <v>0.1</v>
      </c>
      <c r="C14" s="18" t="n">
        <v>75</v>
      </c>
      <c r="D14" s="19" t="n">
        <v>86</v>
      </c>
      <c r="E14" s="19">
        <f>D14-C14</f>
        <v/>
      </c>
      <c r="F14" s="20" t="inlineStr">
        <is>
          <t>Legal modals + lazy-load done; measure real CWV (C1)</t>
        </is>
      </c>
    </row>
    <row r="15">
      <c r="A15" s="8" t="inlineStr">
        <is>
          <t>Data &amp; analytics</t>
        </is>
      </c>
      <c r="B15" s="17" t="n">
        <v>0.04</v>
      </c>
      <c r="C15" s="18" t="n">
        <v>82</v>
      </c>
      <c r="D15" s="19" t="n">
        <v>88</v>
      </c>
      <c r="E15" s="19">
        <f>D15-C15</f>
        <v/>
      </c>
      <c r="F15" s="20" t="inlineStr">
        <is>
          <t>Search Console + chat logs (C2, B6)</t>
        </is>
      </c>
    </row>
    <row r="16">
      <c r="A16" s="8" t="inlineStr">
        <is>
          <t>Enterprise readiness</t>
        </is>
      </c>
      <c r="B16" s="17" t="n">
        <v>0.08</v>
      </c>
      <c r="C16" s="18" t="n">
        <v>78</v>
      </c>
      <c r="D16" s="19" t="n">
        <v>88</v>
      </c>
      <c r="E16" s="19">
        <f>D16-C16</f>
        <v/>
      </c>
      <c r="F16" s="20" t="inlineStr">
        <is>
          <t>Monitoring, runbook, backups (B2, B3, A11, C7)</t>
        </is>
      </c>
    </row>
    <row r="17">
      <c r="A17" s="21" t="inlineStr">
        <is>
          <t>COMPOSITE (weighted)</t>
        </is>
      </c>
      <c r="C17" s="22">
        <f>SUMPRODUCT($B$5:$B$16,C5:C16)</f>
        <v/>
      </c>
      <c r="D17" s="23">
        <f>SUMPRODUCT($B$5:$B$16,D5:D16)</f>
        <v/>
      </c>
      <c r="E17" s="24">
        <f>D17-C17</f>
        <v/>
      </c>
    </row>
  </sheetData>
  <mergeCells count="2">
    <mergeCell ref="A2:F2"/>
    <mergeCell ref="A1:F1"/>
  </mergeCells>
  <conditionalFormatting sqref="C5:C16">
    <cfRule type="cellIs" priority="1" operator="lessThan" dxfId="2">
      <formula>70</formula>
    </cfRule>
    <cfRule type="cellIs" priority="2" operator="greaterThanOrEqual" dxfId="0">
      <formula>85</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34" customWidth="1" min="1" max="1"/>
    <col width="11" customWidth="1" min="2" max="2"/>
    <col width="86" customWidth="1" min="3" max="3"/>
  </cols>
  <sheetData>
    <row r="1">
      <c r="A1" s="1" t="inlineStr">
        <is>
          <t>How to use this tracker</t>
        </is>
      </c>
    </row>
    <row r="3">
      <c r="A3" s="25" t="inlineStr"/>
      <c r="B3" s="2" t="inlineStr"/>
      <c r="C3" s="26" t="inlineStr"/>
    </row>
    <row r="4">
      <c r="A4" s="27" t="inlineStr">
        <is>
          <t>YELLOW CELLS ARE YOURS</t>
        </is>
      </c>
      <c r="B4" s="2" t="inlineStr"/>
      <c r="C4" s="26" t="inlineStr">
        <is>
          <t>Edit only these. Everything else is a formula and will recalculate.</t>
        </is>
      </c>
    </row>
    <row r="5">
      <c r="A5" s="28" t="inlineStr">
        <is>
          <t>Roadmap!F (Owner)</t>
        </is>
      </c>
      <c r="B5" s="2" t="inlineStr">
        <is>
          <t>edit</t>
        </is>
      </c>
      <c r="C5" s="26" t="inlineStr">
        <is>
          <t>Who is actually doing it.</t>
        </is>
      </c>
    </row>
    <row r="6">
      <c r="A6" s="28" t="inlineStr">
        <is>
          <t>Roadmap!I (Status)</t>
        </is>
      </c>
      <c r="B6" s="2" t="inlineStr">
        <is>
          <t>edit</t>
        </is>
      </c>
      <c r="C6" s="26" t="inlineStr">
        <is>
          <t>Pick from the dropdown: Not started / In progress / Blocked / Done / Dropped.</t>
        </is>
      </c>
    </row>
    <row r="7">
      <c r="A7" s="28" t="inlineStr">
        <is>
          <t>Roadmap!K (Target date)</t>
        </is>
      </c>
      <c r="B7" s="2" t="inlineStr">
        <is>
          <t>edit</t>
        </is>
      </c>
      <c r="C7" s="26" t="inlineStr">
        <is>
          <t>Your committed date.</t>
        </is>
      </c>
    </row>
    <row r="8">
      <c r="A8" s="28" t="inlineStr">
        <is>
          <t>Roadmap!L (Notes)</t>
        </is>
      </c>
      <c r="B8" s="2" t="inlineStr">
        <is>
          <t>edit</t>
        </is>
      </c>
      <c r="C8" s="26" t="inlineStr">
        <is>
          <t>Anything worth remembering.</t>
        </is>
      </c>
    </row>
    <row r="9">
      <c r="A9" s="28" t="inlineStr">
        <is>
          <t>Scorecard!C (Current)</t>
        </is>
      </c>
      <c r="B9" s="2" t="inlineStr">
        <is>
          <t>edit</t>
        </is>
      </c>
      <c r="C9" s="26" t="inlineStr">
        <is>
          <t>Update after you re-audit.</t>
        </is>
      </c>
    </row>
    <row r="10">
      <c r="A10" s="25" t="inlineStr"/>
      <c r="B10" s="2" t="inlineStr"/>
      <c r="C10" s="26" t="inlineStr"/>
    </row>
    <row r="11">
      <c r="A11" s="27" t="inlineStr">
        <is>
          <t>READ-ONLY</t>
        </is>
      </c>
      <c r="B11" s="2" t="inlineStr"/>
      <c r="C11" s="26" t="inlineStr"/>
    </row>
    <row r="12">
      <c r="A12" s="28" t="inlineStr">
        <is>
          <t>Dashboard</t>
        </is>
      </c>
      <c r="B12" s="2" t="inlineStr">
        <is>
          <t>formula</t>
        </is>
      </c>
      <c r="C12" s="26" t="inlineStr">
        <is>
          <t>Recalculates from Roadmap. Do not type over it.</t>
        </is>
      </c>
    </row>
    <row r="13">
      <c r="A13" s="28" t="inlineStr">
        <is>
          <t>Roadmap!G (Effort)</t>
        </is>
      </c>
      <c r="B13" s="2" t="inlineStr">
        <is>
          <t>estimate</t>
        </is>
      </c>
      <c r="C13" s="26" t="inlineStr">
        <is>
          <t>Hours. Rough, but consistent across rows.</t>
        </is>
      </c>
    </row>
    <row r="14">
      <c r="A14" s="28" t="inlineStr">
        <is>
          <t>Roadmap!J (Blocked by)</t>
        </is>
      </c>
      <c r="B14" s="2" t="inlineStr">
        <is>
          <t>reference</t>
        </is>
      </c>
      <c r="C14" s="26" t="inlineStr">
        <is>
          <t>The ID that must finish first.</t>
        </is>
      </c>
    </row>
    <row r="15">
      <c r="A15" s="25" t="inlineStr"/>
      <c r="B15" s="2" t="inlineStr"/>
      <c r="C15" s="26" t="inlineStr"/>
    </row>
    <row r="16">
      <c r="A16" s="27" t="inlineStr">
        <is>
          <t>PRIORITIES</t>
        </is>
      </c>
      <c r="B16" s="2" t="inlineStr"/>
      <c r="C16" s="26" t="inlineStr"/>
    </row>
    <row r="17">
      <c r="A17" s="27" t="inlineStr">
        <is>
          <t>P1</t>
        </is>
      </c>
      <c r="B17" s="2" t="inlineStr"/>
      <c r="C17" s="26" t="inlineStr">
        <is>
          <t>Do first. Directly protects revenue or continuity.</t>
        </is>
      </c>
    </row>
    <row r="18">
      <c r="A18" s="27" t="inlineStr">
        <is>
          <t>P2</t>
        </is>
      </c>
      <c r="B18" s="2" t="inlineStr"/>
      <c r="C18" s="26" t="inlineStr">
        <is>
          <t>Important, not urgent. Compounding value.</t>
        </is>
      </c>
    </row>
    <row r="19">
      <c r="A19" s="27" t="inlineStr">
        <is>
          <t>P3</t>
        </is>
      </c>
      <c r="B19" s="2" t="inlineStr"/>
      <c r="C19" s="26" t="inlineStr">
        <is>
          <t>Housekeeping. Do when convenient.</t>
        </is>
      </c>
    </row>
    <row r="20">
      <c r="A20" s="25" t="inlineStr"/>
      <c r="B20" s="2" t="inlineStr"/>
      <c r="C20" s="26" t="inlineStr"/>
    </row>
    <row r="21">
      <c r="A21" s="28" t="inlineStr">
        <is>
          <t>A NOTE ON THE 'Done · v13' ROWS</t>
        </is>
      </c>
      <c r="B21" s="2" t="inlineStr"/>
      <c r="C21" s="26" t="inlineStr">
        <is>
          <t>Those eleven actions were completed and verified in the build delivered with this tracker. They are listed so the record is complete and so the effort figures mean something — not as work still to schedule.</t>
        </is>
      </c>
    </row>
    <row r="22">
      <c r="A22" s="25" t="inlineStr"/>
      <c r="B22" s="2" t="inlineStr"/>
      <c r="C22" s="26" t="inlineStr"/>
    </row>
    <row r="23">
      <c r="A23" s="27" t="inlineStr">
        <is>
          <t>WHAT THIS TRACKER CANNOT TELL YOU</t>
        </is>
      </c>
      <c r="B23" s="2" t="inlineStr"/>
      <c r="C23" s="26" t="inlineStr">
        <is>
          <t>Traffic, rankings, backlinks and real Core Web Vitals are not in here because they were never measured. Actions C1, C2 and C3 exist specifically to go and get those numbers. Until then, treat any performance or SEO figure in the audit as a projection.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2026-07-20T05:45:18Z</dcterms:created>
  <dcterms:modified xmlns:dcterms="http://purl.org/dc/terms/" xmlns:xsi="http://www.w3.org/2001/XMLSchema-instance" xsi:type="dcterms:W3CDTF">2026-07-20T05:45:18Z</dcterms:modified>
</cp:coreProperties>
</file>